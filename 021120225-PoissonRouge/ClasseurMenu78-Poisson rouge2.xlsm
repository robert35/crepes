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166925"/>
  <mc:AlternateContent xmlns:mc="http://schemas.openxmlformats.org/markup-compatibility/2006">
    <mc:Choice Requires="x15">
      <x15ac:absPath xmlns:x15ac="http://schemas.microsoft.com/office/spreadsheetml/2010/11/ac" url="/Volumes/PHILIPSUSB/menu/"/>
    </mc:Choice>
  </mc:AlternateContent>
  <xr:revisionPtr revIDLastSave="0" documentId="13_ncr:1_{F0CBC8C9-A25A-F448-82FE-7F0160FB0B21}" xr6:coauthVersionLast="47" xr6:coauthVersionMax="47" xr10:uidLastSave="{00000000-0000-0000-0000-000000000000}"/>
  <bookViews>
    <workbookView xWindow="880" yWindow="660" windowWidth="40920" windowHeight="24540" activeTab="6" xr2:uid="{06A8A658-A668-0344-A280-0CE6226CF3CF}"/>
  </bookViews>
  <sheets>
    <sheet name="Nomenclature" sheetId="2" r:id="rId1"/>
    <sheet name="Unités" sheetId="12" r:id="rId2"/>
    <sheet name="Fournisseurs" sheetId="4" r:id="rId3"/>
    <sheet name="Produits" sheetId="1" r:id="rId4"/>
    <sheet name="Produits par producteur" sheetId="14" r:id="rId5"/>
    <sheet name="Produits par producteur et R" sheetId="15" r:id="rId6"/>
    <sheet name="Recettes" sheetId="3" r:id="rId7"/>
    <sheet name="Récapitulatif couts recettes" sheetId="5" r:id="rId8"/>
    <sheet name="Prix de ventes recettes" sheetId="10" r:id="rId9"/>
    <sheet name="Menu" sheetId="11" r:id="rId10"/>
    <sheet name="Semainier ventes" sheetId="9" r:id="rId11"/>
    <sheet name="Stocks" sheetId="6" r:id="rId12"/>
    <sheet name="Bilan mensuel creperie" sheetId="8" r:id="rId13"/>
    <sheet name="Prix de ventes recettes (2)" sheetId="13" r:id="rId14"/>
  </sheets>
  <functionGroups builtInGroupCount="19"/>
  <definedNames>
    <definedName name="_xlnm._FilterDatabase" localSheetId="3" hidden="1">Produits!$A$1:$DD$88</definedName>
    <definedName name="_xlnm._FilterDatabase" localSheetId="6" hidden="1">Recettes!$A$1:$M$1</definedName>
    <definedName name="TAllergenes">Nomenclature!$E$2:$E$18</definedName>
    <definedName name="TFournisseurs">Nomenclature!$B$2:$B$36</definedName>
    <definedName name="TProduits">Nomenclature!$A$2:$A$999</definedName>
    <definedName name="TRecette">'Récapitulatif couts recettes'!#REF!</definedName>
    <definedName name="TRecettes">'Récapitulatif couts recettes'!$B:$B</definedName>
    <definedName name="TTypesRecettes">Nomenclature!$D$2:$D$15</definedName>
    <definedName name="TUnités">Nomenclature!$C$2:$C$11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1" i="1" l="1"/>
  <c r="E67" i="3"/>
  <c r="E66" i="3"/>
  <c r="E65" i="3"/>
  <c r="E64" i="3"/>
  <c r="E77" i="3"/>
  <c r="E76" i="3"/>
  <c r="E75" i="3"/>
  <c r="E74" i="3"/>
  <c r="G29" i="1"/>
  <c r="F64" i="3" s="1"/>
  <c r="G64" i="3" s="1"/>
  <c r="E57" i="3"/>
  <c r="E56" i="3"/>
  <c r="E55" i="3"/>
  <c r="E54" i="3"/>
  <c r="E133" i="3"/>
  <c r="F133" i="3"/>
  <c r="G133" i="3" s="1"/>
  <c r="E134" i="3"/>
  <c r="E135" i="3"/>
  <c r="E136" i="3"/>
  <c r="E115" i="3"/>
  <c r="E116" i="3"/>
  <c r="E117" i="3"/>
  <c r="G16" i="1"/>
  <c r="F117" i="3" s="1"/>
  <c r="G117" i="3" s="1"/>
  <c r="G118" i="3" s="1"/>
  <c r="D120" i="3" s="1"/>
  <c r="G17" i="1"/>
  <c r="G15" i="1"/>
  <c r="G19" i="1"/>
  <c r="G20" i="1"/>
  <c r="E108" i="3"/>
  <c r="E101" i="3"/>
  <c r="E94" i="3"/>
  <c r="E93" i="3"/>
  <c r="E92" i="3"/>
  <c r="E91" i="3"/>
  <c r="E84" i="3"/>
  <c r="E47" i="3"/>
  <c r="E46" i="3"/>
  <c r="E45" i="3"/>
  <c r="E44" i="3"/>
  <c r="E37" i="3"/>
  <c r="E36" i="3"/>
  <c r="E35" i="3"/>
  <c r="E34" i="3"/>
  <c r="E25" i="3"/>
  <c r="E26" i="3"/>
  <c r="E27" i="3"/>
  <c r="G22" i="1"/>
  <c r="E24" i="3"/>
  <c r="E124" i="3"/>
  <c r="C45" i="9"/>
  <c r="C46" i="9"/>
  <c r="C47" i="9"/>
  <c r="C48" i="9" s="1"/>
  <c r="C49" i="9" s="1"/>
  <c r="C50" i="9" s="1"/>
  <c r="C51" i="9" s="1"/>
  <c r="C52" i="9" s="1"/>
  <c r="C53" i="9" s="1"/>
  <c r="C54" i="9" s="1"/>
  <c r="C55" i="9" s="1"/>
  <c r="C56" i="9" s="1"/>
  <c r="C57" i="9"/>
  <c r="C58" i="9" s="1"/>
  <c r="C59" i="9" s="1"/>
  <c r="C60" i="9" s="1"/>
  <c r="C61" i="9" s="1"/>
  <c r="C62" i="9" s="1"/>
  <c r="C63" i="9" s="1"/>
  <c r="C64" i="9" s="1"/>
  <c r="C65" i="9"/>
  <c r="C66" i="9" s="1"/>
  <c r="C67" i="9" s="1"/>
  <c r="C68" i="9" s="1"/>
  <c r="C69" i="9" s="1"/>
  <c r="C70" i="9" s="1"/>
  <c r="C71" i="9" s="1"/>
  <c r="C72" i="9" s="1"/>
  <c r="C73" i="9"/>
  <c r="C74" i="9" s="1"/>
  <c r="C75" i="9" s="1"/>
  <c r="C76" i="9" s="1"/>
  <c r="C77" i="9" s="1"/>
  <c r="C78" i="9" s="1"/>
  <c r="C79" i="9" s="1"/>
  <c r="C80" i="9" s="1"/>
  <c r="C81" i="9"/>
  <c r="C82" i="9" s="1"/>
  <c r="C83" i="9" s="1"/>
  <c r="C84" i="9" s="1"/>
  <c r="C85" i="9" s="1"/>
  <c r="C86" i="9" s="1"/>
  <c r="C87" i="9" s="1"/>
  <c r="C88" i="9"/>
  <c r="C89" i="9" s="1"/>
  <c r="C90" i="9" s="1"/>
  <c r="C91" i="9" s="1"/>
  <c r="C92" i="9" s="1"/>
  <c r="C93" i="9" s="1"/>
  <c r="C94" i="9" s="1"/>
  <c r="C95" i="9" s="1"/>
  <c r="C96" i="9" s="1"/>
  <c r="C97" i="9" s="1"/>
  <c r="C98" i="9" s="1"/>
  <c r="C99" i="9" s="1"/>
  <c r="C100" i="9" s="1"/>
  <c r="C101" i="9" s="1"/>
  <c r="C102" i="9" s="1"/>
  <c r="C103" i="9" s="1"/>
  <c r="C104" i="9" s="1"/>
  <c r="C105" i="9" s="1"/>
  <c r="C106" i="9" s="1"/>
  <c r="C107" i="9" s="1"/>
  <c r="C108" i="9" s="1"/>
  <c r="C109" i="9" s="1"/>
  <c r="C110" i="9" s="1"/>
  <c r="C111" i="9" s="1"/>
  <c r="C112" i="9" s="1"/>
  <c r="C113" i="9" s="1"/>
  <c r="C114" i="9" s="1"/>
  <c r="C115" i="9" s="1"/>
  <c r="C116" i="9" s="1"/>
  <c r="C117" i="9" s="1"/>
  <c r="C118" i="9" s="1"/>
  <c r="C119" i="9" s="1"/>
  <c r="C120" i="9" s="1"/>
  <c r="C121" i="9" s="1"/>
  <c r="C122" i="9" s="1"/>
  <c r="C123" i="9" s="1"/>
  <c r="C124" i="9" s="1"/>
  <c r="C125" i="9" s="1"/>
  <c r="C126" i="9" s="1"/>
  <c r="C127" i="9" s="1"/>
  <c r="C128" i="9" s="1"/>
  <c r="C129" i="9" s="1"/>
  <c r="C130" i="9" s="1"/>
  <c r="C131" i="9" s="1"/>
  <c r="C132" i="9" s="1"/>
  <c r="C133" i="9" s="1"/>
  <c r="C134" i="9" s="1"/>
  <c r="C135" i="9" s="1"/>
  <c r="C136" i="9" s="1"/>
  <c r="C137" i="9" s="1"/>
  <c r="C138" i="9" s="1"/>
  <c r="C139" i="9" s="1"/>
  <c r="C140" i="9" s="1"/>
  <c r="C141" i="9" s="1"/>
  <c r="C142" i="9" s="1"/>
  <c r="C143" i="9" s="1"/>
  <c r="C144" i="9" s="1"/>
  <c r="C145" i="9" s="1"/>
  <c r="C146" i="9" s="1"/>
  <c r="C147" i="9" s="1"/>
  <c r="C148" i="9" s="1"/>
  <c r="C149" i="9" s="1"/>
  <c r="C150" i="9" s="1"/>
  <c r="C151" i="9" s="1"/>
  <c r="C152" i="9" s="1"/>
  <c r="C153" i="9" s="1"/>
  <c r="C154" i="9" s="1"/>
  <c r="C155" i="9" s="1"/>
  <c r="C156" i="9" s="1"/>
  <c r="C157" i="9" s="1"/>
  <c r="C158" i="9" s="1"/>
  <c r="C159" i="9" s="1"/>
  <c r="C44" i="9"/>
  <c r="E426" i="3"/>
  <c r="E425" i="3"/>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6" i="10"/>
  <c r="F36" i="10" s="1"/>
  <c r="E38" i="10"/>
  <c r="F38" i="10" s="1"/>
  <c r="E35" i="10"/>
  <c r="F35" i="10" s="1"/>
  <c r="E34" i="10"/>
  <c r="F34" i="10" s="1"/>
  <c r="E37" i="10"/>
  <c r="F37" i="10" s="1"/>
  <c r="E17" i="10"/>
  <c r="F17" i="10" s="1"/>
  <c r="E16" i="10"/>
  <c r="F16" i="10" s="1"/>
  <c r="E15" i="10"/>
  <c r="F15" i="10" s="1"/>
  <c r="E14" i="10"/>
  <c r="F14" i="10" s="1"/>
  <c r="E18" i="10"/>
  <c r="F18" i="10" s="1"/>
  <c r="E12" i="10"/>
  <c r="F12" i="10" s="1"/>
  <c r="E11" i="10"/>
  <c r="F11" i="10" s="1"/>
  <c r="E13" i="10"/>
  <c r="F13" i="10" s="1"/>
  <c r="E25" i="10"/>
  <c r="F25" i="10" s="1"/>
  <c r="E24" i="10"/>
  <c r="F24" i="10" s="1"/>
  <c r="E23" i="10"/>
  <c r="F23" i="10" s="1"/>
  <c r="E21" i="10"/>
  <c r="F21" i="10" s="1"/>
  <c r="E22" i="10"/>
  <c r="F22" i="10" s="1"/>
  <c r="E19" i="10"/>
  <c r="F19" i="10" s="1"/>
  <c r="E20" i="10"/>
  <c r="F20" i="10" s="1"/>
  <c r="E5" i="10"/>
  <c r="F5" i="10" s="1"/>
  <c r="E10" i="10"/>
  <c r="F10" i="10" s="1"/>
  <c r="E9" i="10"/>
  <c r="F9" i="10" s="1"/>
  <c r="E7" i="10"/>
  <c r="F7" i="10" s="1"/>
  <c r="E6" i="10"/>
  <c r="F6" i="10" s="1"/>
  <c r="E8" i="10"/>
  <c r="F8" i="10" s="1"/>
  <c r="E4" i="10"/>
  <c r="F4" i="10" s="1"/>
  <c r="E3" i="10"/>
  <c r="F3" i="10" s="1"/>
  <c r="E2" i="10"/>
  <c r="F2" i="10" s="1"/>
  <c r="E28" i="10"/>
  <c r="F28" i="10" s="1"/>
  <c r="E30" i="10"/>
  <c r="F30" i="10" s="1"/>
  <c r="E33" i="10"/>
  <c r="F33" i="10" s="1"/>
  <c r="E26" i="10"/>
  <c r="F26" i="10" s="1"/>
  <c r="E32" i="10"/>
  <c r="F32" i="10" s="1"/>
  <c r="E31" i="10"/>
  <c r="F31" i="10" s="1"/>
  <c r="E27" i="10"/>
  <c r="F27" i="10" s="1"/>
  <c r="E29" i="10"/>
  <c r="F29" i="10" s="1"/>
  <c r="E301" i="3"/>
  <c r="E2" i="11"/>
  <c r="E375" i="3"/>
  <c r="F16" i="2" a="1"/>
  <c r="F16" i="2" s="1"/>
  <c r="F17" i="2" a="1"/>
  <c r="F17" i="2" s="1"/>
  <c r="C37" i="13"/>
  <c r="E37" i="13" s="1"/>
  <c r="F37" i="13" s="1"/>
  <c r="B37" i="13"/>
  <c r="A37" i="13"/>
  <c r="C36" i="13"/>
  <c r="E36" i="13" s="1"/>
  <c r="F36" i="13" s="1"/>
  <c r="B36" i="13"/>
  <c r="A36" i="13"/>
  <c r="C35" i="13"/>
  <c r="E35" i="13" s="1"/>
  <c r="F35" i="13" s="1"/>
  <c r="B35" i="13"/>
  <c r="A35" i="13"/>
  <c r="C34" i="13"/>
  <c r="E34" i="13" s="1"/>
  <c r="F34" i="13" s="1"/>
  <c r="B34" i="13"/>
  <c r="A34" i="13"/>
  <c r="C33" i="13"/>
  <c r="E33" i="13" s="1"/>
  <c r="F33" i="13" s="1"/>
  <c r="B33" i="13"/>
  <c r="A33" i="13"/>
  <c r="C32" i="13"/>
  <c r="E32" i="13" s="1"/>
  <c r="F32" i="13" s="1"/>
  <c r="B32" i="13"/>
  <c r="A32" i="13"/>
  <c r="C31" i="13"/>
  <c r="E31" i="13" s="1"/>
  <c r="F31" i="13" s="1"/>
  <c r="B31" i="13"/>
  <c r="A31" i="13"/>
  <c r="C30" i="13"/>
  <c r="E30" i="13" s="1"/>
  <c r="F30" i="13" s="1"/>
  <c r="B30" i="13"/>
  <c r="A30" i="13"/>
  <c r="C29" i="13"/>
  <c r="E29" i="13" s="1"/>
  <c r="F29" i="13" s="1"/>
  <c r="B29" i="13"/>
  <c r="A29" i="13"/>
  <c r="C28" i="13"/>
  <c r="E28" i="13" s="1"/>
  <c r="F28" i="13" s="1"/>
  <c r="B28" i="13"/>
  <c r="A28" i="13"/>
  <c r="C27" i="13"/>
  <c r="E27" i="13" s="1"/>
  <c r="F27" i="13" s="1"/>
  <c r="B27" i="13"/>
  <c r="A27" i="13"/>
  <c r="C26" i="13"/>
  <c r="E26" i="13" s="1"/>
  <c r="F26" i="13" s="1"/>
  <c r="B26" i="13"/>
  <c r="A26" i="13"/>
  <c r="C25" i="13"/>
  <c r="E25" i="13" s="1"/>
  <c r="F25" i="13" s="1"/>
  <c r="B25" i="13"/>
  <c r="A25" i="13"/>
  <c r="C24" i="13"/>
  <c r="E24" i="13" s="1"/>
  <c r="F24" i="13" s="1"/>
  <c r="B24" i="13"/>
  <c r="A24" i="13"/>
  <c r="C23" i="13"/>
  <c r="E23" i="13" s="1"/>
  <c r="F23" i="13" s="1"/>
  <c r="B23" i="13"/>
  <c r="A23" i="13"/>
  <c r="C22" i="13"/>
  <c r="E22" i="13" s="1"/>
  <c r="F22" i="13" s="1"/>
  <c r="B22" i="13"/>
  <c r="A22" i="13"/>
  <c r="C21" i="13"/>
  <c r="E21" i="13" s="1"/>
  <c r="F21" i="13" s="1"/>
  <c r="B21" i="13"/>
  <c r="A21" i="13"/>
  <c r="C20" i="13"/>
  <c r="E20" i="13" s="1"/>
  <c r="F20" i="13" s="1"/>
  <c r="B20" i="13"/>
  <c r="A20" i="13"/>
  <c r="C19" i="13"/>
  <c r="E19" i="13" s="1"/>
  <c r="F19" i="13" s="1"/>
  <c r="B19" i="13"/>
  <c r="A19" i="13"/>
  <c r="C18" i="13"/>
  <c r="E18" i="13" s="1"/>
  <c r="F18" i="13" s="1"/>
  <c r="B18" i="13"/>
  <c r="A18" i="13"/>
  <c r="C17" i="13"/>
  <c r="E17" i="13" s="1"/>
  <c r="F17" i="13" s="1"/>
  <c r="B17" i="13"/>
  <c r="A17" i="13"/>
  <c r="C16" i="13"/>
  <c r="E16" i="13" s="1"/>
  <c r="F16" i="13" s="1"/>
  <c r="B16" i="13"/>
  <c r="A16" i="13"/>
  <c r="C15" i="13"/>
  <c r="E15" i="13" s="1"/>
  <c r="F15" i="13" s="1"/>
  <c r="B15" i="13"/>
  <c r="A15" i="13"/>
  <c r="C14" i="13"/>
  <c r="E14" i="13" s="1"/>
  <c r="F14" i="13" s="1"/>
  <c r="B14" i="13"/>
  <c r="A14" i="13"/>
  <c r="C13" i="13"/>
  <c r="E13" i="13" s="1"/>
  <c r="F13" i="13" s="1"/>
  <c r="B13" i="13"/>
  <c r="A13" i="13"/>
  <c r="C12" i="13"/>
  <c r="E12" i="13" s="1"/>
  <c r="F12" i="13" s="1"/>
  <c r="B12" i="13"/>
  <c r="A12" i="13"/>
  <c r="C11" i="13"/>
  <c r="E11" i="13" s="1"/>
  <c r="F11" i="13" s="1"/>
  <c r="B11" i="13"/>
  <c r="A11" i="13"/>
  <c r="C10" i="13"/>
  <c r="E10" i="13" s="1"/>
  <c r="F10" i="13" s="1"/>
  <c r="B10" i="13"/>
  <c r="A10" i="13"/>
  <c r="C9" i="13"/>
  <c r="E9" i="13" s="1"/>
  <c r="F9" i="13" s="1"/>
  <c r="B9" i="13"/>
  <c r="A9" i="13"/>
  <c r="C8" i="13"/>
  <c r="E8" i="13" s="1"/>
  <c r="F8" i="13" s="1"/>
  <c r="B8" i="13"/>
  <c r="A8" i="13"/>
  <c r="C7" i="13"/>
  <c r="E7" i="13" s="1"/>
  <c r="F7" i="13" s="1"/>
  <c r="B7" i="13"/>
  <c r="A7" i="13"/>
  <c r="C6" i="13"/>
  <c r="E6" i="13" s="1"/>
  <c r="F6" i="13" s="1"/>
  <c r="B6" i="13"/>
  <c r="A6" i="13"/>
  <c r="C5" i="13"/>
  <c r="E5" i="13" s="1"/>
  <c r="F5" i="13" s="1"/>
  <c r="B5" i="13"/>
  <c r="A5" i="13"/>
  <c r="C4" i="13"/>
  <c r="E4" i="13" s="1"/>
  <c r="F4" i="13" s="1"/>
  <c r="B4" i="13"/>
  <c r="A4" i="13"/>
  <c r="C3" i="13"/>
  <c r="E3" i="13" s="1"/>
  <c r="F3" i="13" s="1"/>
  <c r="B3" i="13"/>
  <c r="A3" i="13"/>
  <c r="C2" i="13"/>
  <c r="E2" i="13" s="1"/>
  <c r="F2" i="13" s="1"/>
  <c r="B2" i="13"/>
  <c r="A2" i="13"/>
  <c r="E572" i="3"/>
  <c r="E565" i="3"/>
  <c r="E564" i="3"/>
  <c r="E563" i="3"/>
  <c r="E562" i="3"/>
  <c r="E561" i="3"/>
  <c r="E554" i="3"/>
  <c r="E553" i="3"/>
  <c r="E546" i="3"/>
  <c r="E539" i="3"/>
  <c r="E532" i="3"/>
  <c r="E531" i="3"/>
  <c r="E530" i="3"/>
  <c r="E529" i="3"/>
  <c r="E522" i="3"/>
  <c r="E521" i="3"/>
  <c r="E520" i="3"/>
  <c r="E519" i="3"/>
  <c r="E512" i="3"/>
  <c r="E511" i="3"/>
  <c r="E510" i="3"/>
  <c r="E509" i="3"/>
  <c r="E502" i="3"/>
  <c r="E501" i="3"/>
  <c r="E500" i="3"/>
  <c r="E493" i="3"/>
  <c r="E492" i="3"/>
  <c r="E491" i="3"/>
  <c r="E484" i="3"/>
  <c r="E483" i="3"/>
  <c r="E482" i="3"/>
  <c r="E475" i="3"/>
  <c r="E474" i="3"/>
  <c r="E473" i="3"/>
  <c r="E466" i="3"/>
  <c r="E465" i="3"/>
  <c r="E464" i="3"/>
  <c r="E463" i="3"/>
  <c r="E456" i="3"/>
  <c r="E455" i="3"/>
  <c r="E454" i="3"/>
  <c r="E453" i="3"/>
  <c r="E446" i="3"/>
  <c r="E445" i="3"/>
  <c r="E444" i="3"/>
  <c r="E437" i="3"/>
  <c r="E436" i="3"/>
  <c r="E435" i="3"/>
  <c r="E434" i="3"/>
  <c r="E427" i="3"/>
  <c r="E424" i="3"/>
  <c r="E417" i="3"/>
  <c r="E416" i="3"/>
  <c r="E415" i="3"/>
  <c r="E408" i="3"/>
  <c r="E407" i="3"/>
  <c r="E406" i="3"/>
  <c r="E405" i="3"/>
  <c r="E404" i="3"/>
  <c r="E403" i="3"/>
  <c r="E402" i="3"/>
  <c r="E401" i="3"/>
  <c r="E394" i="3"/>
  <c r="E393" i="3"/>
  <c r="E392" i="3"/>
  <c r="E385" i="3"/>
  <c r="E384" i="3"/>
  <c r="E383" i="3"/>
  <c r="E376" i="3"/>
  <c r="E374" i="3"/>
  <c r="E373" i="3"/>
  <c r="E366" i="3"/>
  <c r="E365" i="3"/>
  <c r="E358" i="3"/>
  <c r="E357" i="3"/>
  <c r="E356" i="3"/>
  <c r="E349" i="3"/>
  <c r="E348" i="3"/>
  <c r="E347" i="3"/>
  <c r="E340" i="3"/>
  <c r="E339" i="3"/>
  <c r="E338" i="3"/>
  <c r="E331" i="3"/>
  <c r="E330" i="3"/>
  <c r="E323" i="3"/>
  <c r="E316" i="3"/>
  <c r="E315" i="3"/>
  <c r="E308" i="3"/>
  <c r="E294" i="3"/>
  <c r="E287" i="3"/>
  <c r="E286" i="3"/>
  <c r="E285" i="3"/>
  <c r="E278" i="3"/>
  <c r="E271" i="3"/>
  <c r="E270" i="3"/>
  <c r="E263" i="3"/>
  <c r="E262" i="3"/>
  <c r="E255" i="3"/>
  <c r="E254" i="3"/>
  <c r="E253" i="3"/>
  <c r="E246" i="3"/>
  <c r="E245" i="3"/>
  <c r="E244" i="3"/>
  <c r="E237" i="3"/>
  <c r="E236" i="3"/>
  <c r="E235" i="3"/>
  <c r="E234" i="3"/>
  <c r="E233" i="3"/>
  <c r="E232" i="3"/>
  <c r="E231" i="3"/>
  <c r="E230" i="3"/>
  <c r="E223" i="3"/>
  <c r="E222" i="3"/>
  <c r="E221" i="3"/>
  <c r="E220" i="3"/>
  <c r="E213" i="3"/>
  <c r="E212" i="3"/>
  <c r="E211" i="3"/>
  <c r="E210" i="3"/>
  <c r="E203" i="3"/>
  <c r="E202" i="3"/>
  <c r="E195" i="3"/>
  <c r="E194" i="3"/>
  <c r="E193" i="3"/>
  <c r="E192" i="3"/>
  <c r="E191" i="3"/>
  <c r="E190" i="3"/>
  <c r="E189" i="3"/>
  <c r="E188" i="3"/>
  <c r="E187" i="3"/>
  <c r="E180" i="3"/>
  <c r="E179" i="3"/>
  <c r="E178" i="3"/>
  <c r="E177" i="3"/>
  <c r="E170" i="3"/>
  <c r="E169" i="3"/>
  <c r="E168" i="3"/>
  <c r="E167" i="3"/>
  <c r="E166" i="3"/>
  <c r="E159" i="3"/>
  <c r="E158" i="3"/>
  <c r="E157" i="3"/>
  <c r="E156" i="3"/>
  <c r="E155" i="3"/>
  <c r="E148" i="3"/>
  <c r="E147" i="3"/>
  <c r="E146" i="3"/>
  <c r="E145" i="3"/>
  <c r="E144" i="3"/>
  <c r="E137" i="3"/>
  <c r="E125" i="3"/>
  <c r="E17" i="3"/>
  <c r="E16" i="3"/>
  <c r="E15" i="3"/>
  <c r="E14" i="3"/>
  <c r="E13" i="3"/>
  <c r="E6" i="3"/>
  <c r="E5" i="3"/>
  <c r="G2" i="9"/>
  <c r="H2" i="9"/>
  <c r="I2" i="9"/>
  <c r="J2" i="9"/>
  <c r="K2" i="9"/>
  <c r="L2" i="9"/>
  <c r="M2" i="9"/>
  <c r="N2" i="9"/>
  <c r="O2" i="9"/>
  <c r="P2" i="9"/>
  <c r="Q2" i="9"/>
  <c r="R2" i="9"/>
  <c r="S2" i="9"/>
  <c r="T2" i="9"/>
  <c r="U2" i="9"/>
  <c r="V2" i="9"/>
  <c r="W2" i="9"/>
  <c r="X2" i="9"/>
  <c r="Y2" i="9"/>
  <c r="Z2" i="9"/>
  <c r="AA2" i="9"/>
  <c r="AB2" i="9"/>
  <c r="AC2" i="9"/>
  <c r="AD2" i="9"/>
  <c r="AE2" i="9"/>
  <c r="AF2" i="9"/>
  <c r="AG2" i="9"/>
  <c r="AH2" i="9"/>
  <c r="AI2" i="9"/>
  <c r="AJ2" i="9"/>
  <c r="AK2" i="9"/>
  <c r="AL2" i="9"/>
  <c r="AM2" i="9"/>
  <c r="AN2" i="9"/>
  <c r="AO2" i="9"/>
  <c r="AP2" i="9"/>
  <c r="AQ2" i="9"/>
  <c r="AR2" i="9"/>
  <c r="AS2" i="9"/>
  <c r="AT2" i="9"/>
  <c r="AU2" i="9"/>
  <c r="AV2" i="9"/>
  <c r="AW2" i="9"/>
  <c r="AX2" i="9"/>
  <c r="AY2" i="9"/>
  <c r="AZ2" i="9"/>
  <c r="BA2" i="9"/>
  <c r="BB2" i="9"/>
  <c r="BC2" i="9"/>
  <c r="D2" i="9"/>
  <c r="B1" i="9"/>
  <c r="A1" i="9"/>
  <c r="C18" i="8"/>
  <c r="C50" i="8"/>
  <c r="C30" i="8"/>
  <c r="C11" i="8"/>
  <c r="C10" i="8"/>
  <c r="C37" i="8"/>
  <c r="C5" i="8"/>
  <c r="C31" i="8" s="1"/>
  <c r="F116" i="3" l="1"/>
  <c r="G116" i="3" s="1"/>
  <c r="F74" i="3"/>
  <c r="G74" i="3" s="1"/>
  <c r="F54" i="3"/>
  <c r="G54" i="3" s="1"/>
  <c r="F44" i="3"/>
  <c r="G44" i="3" s="1"/>
  <c r="F108" i="3"/>
  <c r="G108" i="3" s="1"/>
  <c r="F91" i="3"/>
  <c r="G91" i="3" s="1"/>
  <c r="F101" i="3"/>
  <c r="G101" i="3" s="1"/>
  <c r="F34" i="3"/>
  <c r="G34" i="3" s="1"/>
  <c r="F2" i="9"/>
  <c r="E2" i="9"/>
  <c r="C54" i="8"/>
  <c r="C12" i="8"/>
  <c r="C43" i="8" s="1"/>
  <c r="C36" i="8"/>
  <c r="C32" i="8"/>
  <c r="C44" i="8" l="1"/>
  <c r="C33" i="8"/>
  <c r="C56" i="8"/>
  <c r="C57" i="8" s="1"/>
  <c r="C58" i="8" s="1"/>
  <c r="C61" i="8" s="1"/>
  <c r="C62" i="8" s="1"/>
  <c r="G46" i="1" l="1"/>
  <c r="F456" i="3" s="1"/>
  <c r="G64" i="1"/>
  <c r="F406" i="3" s="1"/>
  <c r="D1" i="9"/>
  <c r="E1" i="9" s="1"/>
  <c r="F1" i="9" s="1"/>
  <c r="G1" i="9" s="1"/>
  <c r="H1" i="9" s="1"/>
  <c r="I1" i="9" s="1"/>
  <c r="J1" i="9" s="1"/>
  <c r="K1" i="9" s="1"/>
  <c r="L1" i="9" s="1"/>
  <c r="M1" i="9" s="1"/>
  <c r="N1" i="9" s="1"/>
  <c r="O1" i="9" s="1"/>
  <c r="P1" i="9" s="1"/>
  <c r="Q1" i="9" s="1"/>
  <c r="R1" i="9" s="1"/>
  <c r="S1" i="9" s="1"/>
  <c r="T1" i="9" s="1"/>
  <c r="U1" i="9" s="1"/>
  <c r="V1" i="9" s="1"/>
  <c r="W1" i="9" s="1"/>
  <c r="X1" i="9" s="1"/>
  <c r="Y1" i="9" s="1"/>
  <c r="Z1" i="9" s="1"/>
  <c r="AA1" i="9" s="1"/>
  <c r="AB1" i="9" s="1"/>
  <c r="AC1" i="9" s="1"/>
  <c r="AD1" i="9" s="1"/>
  <c r="AE1" i="9" s="1"/>
  <c r="AF1" i="9" s="1"/>
  <c r="AG1" i="9" s="1"/>
  <c r="AH1" i="9" s="1"/>
  <c r="AI1" i="9" s="1"/>
  <c r="AJ1" i="9" s="1"/>
  <c r="AK1" i="9" s="1"/>
  <c r="AL1" i="9" s="1"/>
  <c r="AM1" i="9" s="1"/>
  <c r="AN1" i="9" s="1"/>
  <c r="AO1" i="9" s="1"/>
  <c r="AP1" i="9" s="1"/>
  <c r="AQ1" i="9" s="1"/>
  <c r="AR1" i="9" s="1"/>
  <c r="AS1" i="9" s="1"/>
  <c r="AT1" i="9" s="1"/>
  <c r="AU1" i="9" s="1"/>
  <c r="AV1" i="9" s="1"/>
  <c r="AW1" i="9" s="1"/>
  <c r="AX1" i="9" s="1"/>
  <c r="AY1" i="9" s="1"/>
  <c r="AZ1" i="9" s="1"/>
  <c r="BA1" i="9" s="1"/>
  <c r="BB1" i="9" s="1"/>
  <c r="BC1" i="9" s="1"/>
  <c r="G21" i="1"/>
  <c r="G54" i="1"/>
  <c r="G12" i="1"/>
  <c r="F244" i="3" s="1"/>
  <c r="G42" i="1"/>
  <c r="G32" i="1"/>
  <c r="G31" i="1"/>
  <c r="F187" i="3" s="1"/>
  <c r="G37" i="1"/>
  <c r="F167" i="3" s="1"/>
  <c r="G167" i="3" s="1"/>
  <c r="G60" i="1"/>
  <c r="F136" i="3" s="1"/>
  <c r="G136" i="3" s="1"/>
  <c r="G6" i="1"/>
  <c r="G8" i="1"/>
  <c r="G43" i="1"/>
  <c r="G30" i="1"/>
  <c r="G11" i="1"/>
  <c r="F24" i="3" s="1"/>
  <c r="G24" i="3" s="1"/>
  <c r="G53" i="1"/>
  <c r="G52" i="1"/>
  <c r="G47" i="1"/>
  <c r="G36" i="1"/>
  <c r="G75" i="1"/>
  <c r="G74" i="1"/>
  <c r="F134" i="3" s="1"/>
  <c r="G134" i="3" s="1"/>
  <c r="G72" i="1"/>
  <c r="G62" i="1"/>
  <c r="F195" i="3" s="1"/>
  <c r="G63" i="1"/>
  <c r="F194" i="3" s="1"/>
  <c r="G76" i="1"/>
  <c r="G55" i="1"/>
  <c r="F157" i="3" s="1"/>
  <c r="G45" i="1"/>
  <c r="F145" i="3" s="1"/>
  <c r="G66" i="1"/>
  <c r="G77" i="1"/>
  <c r="G71" i="1"/>
  <c r="G79" i="1"/>
  <c r="G18" i="1"/>
  <c r="G9" i="1"/>
  <c r="F211" i="3" s="1"/>
  <c r="G40" i="1"/>
  <c r="G48" i="1"/>
  <c r="G49" i="1"/>
  <c r="G61" i="1"/>
  <c r="G13" i="1"/>
  <c r="G57" i="1"/>
  <c r="G23" i="1"/>
  <c r="G34" i="1"/>
  <c r="G25" i="1"/>
  <c r="G26" i="1"/>
  <c r="G27" i="1"/>
  <c r="G24" i="1"/>
  <c r="F285" i="3" s="1"/>
  <c r="G33" i="1"/>
  <c r="G38" i="1"/>
  <c r="G39" i="1"/>
  <c r="G10" i="1"/>
  <c r="F301" i="3" s="1"/>
  <c r="G301" i="3" s="1"/>
  <c r="G302" i="3" s="1"/>
  <c r="D304" i="3" s="1"/>
  <c r="G44" i="1"/>
  <c r="G68" i="1"/>
  <c r="G73" i="1"/>
  <c r="G78" i="1"/>
  <c r="G80" i="1"/>
  <c r="G50" i="1"/>
  <c r="G67" i="1"/>
  <c r="G56" i="1"/>
  <c r="F492" i="3" s="1"/>
  <c r="G65" i="1"/>
  <c r="F502" i="3" s="1"/>
  <c r="G35" i="1"/>
  <c r="G7" i="1"/>
  <c r="G69" i="1"/>
  <c r="G70" i="1"/>
  <c r="F539" i="3" s="1"/>
  <c r="G59" i="1"/>
  <c r="F546" i="3" s="1"/>
  <c r="G58" i="1"/>
  <c r="F572" i="3" s="1"/>
  <c r="G28" i="1"/>
  <c r="G4" i="1"/>
  <c r="F565" i="3" s="1"/>
  <c r="G5" i="1"/>
  <c r="F562" i="3" s="1"/>
  <c r="G3" i="1"/>
  <c r="F561" i="3" s="1"/>
  <c r="G2" i="1"/>
  <c r="G41" i="1"/>
  <c r="G14" i="1"/>
  <c r="F55" i="3" l="1"/>
  <c r="G55" i="3" s="1"/>
  <c r="F57" i="3"/>
  <c r="G57" i="3" s="1"/>
  <c r="F67" i="3"/>
  <c r="G67" i="3" s="1"/>
  <c r="F77" i="3"/>
  <c r="G77" i="3" s="1"/>
  <c r="F56" i="3"/>
  <c r="G56" i="3" s="1"/>
  <c r="F66" i="3"/>
  <c r="G66" i="3" s="1"/>
  <c r="F76" i="3"/>
  <c r="G76" i="3" s="1"/>
  <c r="F135" i="3"/>
  <c r="G135" i="3" s="1"/>
  <c r="F75" i="3"/>
  <c r="G75" i="3" s="1"/>
  <c r="F65" i="3"/>
  <c r="G65" i="3" s="1"/>
  <c r="F203" i="3"/>
  <c r="F115" i="3"/>
  <c r="G115" i="3" s="1"/>
  <c r="G58" i="3"/>
  <c r="D60" i="3" s="1"/>
  <c r="F94" i="3"/>
  <c r="G94" i="3" s="1"/>
  <c r="F47" i="3"/>
  <c r="G47" i="3" s="1"/>
  <c r="F37" i="3"/>
  <c r="G37" i="3" s="1"/>
  <c r="F27" i="3"/>
  <c r="G27" i="3" s="1"/>
  <c r="F93" i="3"/>
  <c r="G93" i="3" s="1"/>
  <c r="F46" i="3"/>
  <c r="G46" i="3" s="1"/>
  <c r="F36" i="3"/>
  <c r="G36" i="3" s="1"/>
  <c r="F26" i="3"/>
  <c r="G26" i="3" s="1"/>
  <c r="F510" i="3"/>
  <c r="G510" i="3" s="1"/>
  <c r="F84" i="3"/>
  <c r="G84" i="3" s="1"/>
  <c r="G85" i="3" s="1"/>
  <c r="D87" i="3" s="1"/>
  <c r="F25" i="3"/>
  <c r="G25" i="3" s="1"/>
  <c r="F92" i="3"/>
  <c r="G92" i="3" s="1"/>
  <c r="F45" i="3"/>
  <c r="G45" i="3" s="1"/>
  <c r="F35" i="3"/>
  <c r="G35" i="3" s="1"/>
  <c r="F375" i="3"/>
  <c r="G375" i="3" s="1"/>
  <c r="F425" i="3"/>
  <c r="G425" i="3" s="1"/>
  <c r="F426" i="3"/>
  <c r="G426" i="3" s="1"/>
  <c r="F553" i="3"/>
  <c r="G553" i="3" s="1"/>
  <c r="F437" i="3"/>
  <c r="G437" i="3" s="1"/>
  <c r="F376" i="3"/>
  <c r="G376" i="3" s="1"/>
  <c r="F287" i="3"/>
  <c r="G287" i="3" s="1"/>
  <c r="F394" i="3"/>
  <c r="G394" i="3" s="1"/>
  <c r="F358" i="3"/>
  <c r="G358" i="3" s="1"/>
  <c r="F237" i="3"/>
  <c r="G237" i="3" s="1"/>
  <c r="F169" i="3"/>
  <c r="G169" i="3" s="1"/>
  <c r="F147" i="3"/>
  <c r="G147" i="3" s="1"/>
  <c r="F190" i="3"/>
  <c r="G190" i="3" s="1"/>
  <c r="F403" i="3"/>
  <c r="G403" i="3" s="1"/>
  <c r="F13" i="3"/>
  <c r="G13" i="3" s="1"/>
  <c r="F564" i="3"/>
  <c r="G564" i="3" s="1"/>
  <c r="F357" i="3"/>
  <c r="G357" i="3" s="1"/>
  <c r="F286" i="3"/>
  <c r="G286" i="3" s="1"/>
  <c r="F393" i="3"/>
  <c r="G393" i="3" s="1"/>
  <c r="F192" i="3"/>
  <c r="G192" i="3" s="1"/>
  <c r="F231" i="3"/>
  <c r="G231" i="3" s="1"/>
  <c r="F170" i="3"/>
  <c r="G170" i="3" s="1"/>
  <c r="F148" i="3"/>
  <c r="G148" i="3" s="1"/>
  <c r="F235" i="3"/>
  <c r="G235" i="3" s="1"/>
  <c r="F5" i="3"/>
  <c r="G5" i="3" s="1"/>
  <c r="G203" i="3"/>
  <c r="F188" i="3"/>
  <c r="G188" i="3" s="1"/>
  <c r="F466" i="3"/>
  <c r="G466" i="3" s="1"/>
  <c r="F315" i="3"/>
  <c r="G315" i="3" s="1"/>
  <c r="F294" i="3"/>
  <c r="G294" i="3" s="1"/>
  <c r="G295" i="3" s="1"/>
  <c r="D297" i="3" s="1"/>
  <c r="F531" i="3"/>
  <c r="G531" i="3" s="1"/>
  <c r="F465" i="3"/>
  <c r="G465" i="3" s="1"/>
  <c r="F14" i="3"/>
  <c r="G14" i="3" s="1"/>
  <c r="F348" i="3"/>
  <c r="G348" i="3" s="1"/>
  <c r="F191" i="3"/>
  <c r="G191" i="3" s="1"/>
  <c r="F521" i="3"/>
  <c r="G521" i="3" s="1"/>
  <c r="F402" i="3"/>
  <c r="G402" i="3" s="1"/>
  <c r="F483" i="3"/>
  <c r="G483" i="3" s="1"/>
  <c r="F340" i="3"/>
  <c r="G340" i="3" s="1"/>
  <c r="F436" i="3"/>
  <c r="G436" i="3" s="1"/>
  <c r="F385" i="3"/>
  <c r="G385" i="3" s="1"/>
  <c r="F563" i="3"/>
  <c r="G563" i="3" s="1"/>
  <c r="F530" i="3"/>
  <c r="G530" i="3" s="1"/>
  <c r="F520" i="3"/>
  <c r="G520" i="3" s="1"/>
  <c r="F222" i="3"/>
  <c r="G222" i="3" s="1"/>
  <c r="F178" i="3"/>
  <c r="G178" i="3" s="1"/>
  <c r="F6" i="3"/>
  <c r="G6" i="3" s="1"/>
  <c r="F236" i="3"/>
  <c r="G236" i="3" s="1"/>
  <c r="F146" i="3"/>
  <c r="G146" i="3" s="1"/>
  <c r="F168" i="3"/>
  <c r="G168" i="3" s="1"/>
  <c r="F189" i="3"/>
  <c r="G189" i="3" s="1"/>
  <c r="F17" i="3"/>
  <c r="G17" i="3" s="1"/>
  <c r="F511" i="3"/>
  <c r="G511" i="3" s="1"/>
  <c r="F404" i="3"/>
  <c r="G404" i="3" s="1"/>
  <c r="F223" i="3"/>
  <c r="G223" i="3" s="1"/>
  <c r="F158" i="3"/>
  <c r="G158" i="3" s="1"/>
  <c r="F234" i="3"/>
  <c r="G234" i="3" s="1"/>
  <c r="F405" i="3"/>
  <c r="G405" i="3" s="1"/>
  <c r="F278" i="3"/>
  <c r="G278" i="3" s="1"/>
  <c r="G279" i="3" s="1"/>
  <c r="D281" i="3" s="1"/>
  <c r="F435" i="3"/>
  <c r="G435" i="3" s="1"/>
  <c r="F493" i="3"/>
  <c r="G493" i="3" s="1"/>
  <c r="F464" i="3"/>
  <c r="G464" i="3" s="1"/>
  <c r="F349" i="3"/>
  <c r="G349" i="3" s="1"/>
  <c r="F233" i="3"/>
  <c r="G233" i="3" s="1"/>
  <c r="F455" i="3"/>
  <c r="G455" i="3" s="1"/>
  <c r="F366" i="3"/>
  <c r="G366" i="3" s="1"/>
  <c r="F166" i="3"/>
  <c r="F144" i="3"/>
  <c r="G144" i="3" s="1"/>
  <c r="F512" i="3"/>
  <c r="G512" i="3" s="1"/>
  <c r="F474" i="3"/>
  <c r="F15" i="3"/>
  <c r="G15" i="3" s="1"/>
  <c r="F221" i="3"/>
  <c r="G221" i="3" s="1"/>
  <c r="F407" i="3"/>
  <c r="G407" i="3" s="1"/>
  <c r="F270" i="3"/>
  <c r="G270" i="3" s="1"/>
  <c r="F262" i="3"/>
  <c r="G262" i="3" s="1"/>
  <c r="F365" i="3"/>
  <c r="G365" i="3" s="1"/>
  <c r="F202" i="3"/>
  <c r="G202" i="3" s="1"/>
  <c r="F193" i="3"/>
  <c r="G193" i="3" s="1"/>
  <c r="F246" i="3"/>
  <c r="G246" i="3" s="1"/>
  <c r="F323" i="3"/>
  <c r="G323" i="3" s="1"/>
  <c r="G324" i="3" s="1"/>
  <c r="D326" i="3" s="1"/>
  <c r="F263" i="3"/>
  <c r="G244" i="3"/>
  <c r="F271" i="3"/>
  <c r="G271" i="3" s="1"/>
  <c r="F230" i="3"/>
  <c r="G230" i="3" s="1"/>
  <c r="F383" i="3"/>
  <c r="G383" i="3" s="1"/>
  <c r="F482" i="3"/>
  <c r="G482" i="3" s="1"/>
  <c r="F532" i="3"/>
  <c r="G532" i="3" s="1"/>
  <c r="F384" i="3"/>
  <c r="G384" i="3" s="1"/>
  <c r="F522" i="3"/>
  <c r="G522" i="3" s="1"/>
  <c r="F484" i="3"/>
  <c r="G484" i="3" s="1"/>
  <c r="F347" i="3"/>
  <c r="G347" i="3" s="1"/>
  <c r="F408" i="3"/>
  <c r="G408" i="3" s="1"/>
  <c r="F339" i="3"/>
  <c r="G339" i="3" s="1"/>
  <c r="F137" i="3"/>
  <c r="G137" i="3" s="1"/>
  <c r="F417" i="3"/>
  <c r="G417" i="3" s="1"/>
  <c r="F232" i="3"/>
  <c r="G232" i="3" s="1"/>
  <c r="F446" i="3"/>
  <c r="G446" i="3" s="1"/>
  <c r="F245" i="3"/>
  <c r="G245" i="3" s="1"/>
  <c r="F159" i="3"/>
  <c r="G159" i="3" s="1"/>
  <c r="F125" i="3"/>
  <c r="G125" i="3" s="1"/>
  <c r="F331" i="3"/>
  <c r="G331" i="3" s="1"/>
  <c r="F180" i="3"/>
  <c r="G180" i="3" s="1"/>
  <c r="F316" i="3"/>
  <c r="G316" i="3" s="1"/>
  <c r="F463" i="3"/>
  <c r="G463" i="3" s="1"/>
  <c r="F434" i="3"/>
  <c r="G434" i="3" s="1"/>
  <c r="F308" i="3"/>
  <c r="G308" i="3" s="1"/>
  <c r="G309" i="3" s="1"/>
  <c r="D311" i="3" s="1"/>
  <c r="F16" i="3"/>
  <c r="G16" i="3" s="1"/>
  <c r="F554" i="3"/>
  <c r="G554" i="3" s="1"/>
  <c r="F401" i="3"/>
  <c r="G401" i="3" s="1"/>
  <c r="G539" i="3"/>
  <c r="G561" i="3"/>
  <c r="G502" i="3"/>
  <c r="G456" i="3"/>
  <c r="G406" i="3"/>
  <c r="G572" i="3"/>
  <c r="G562" i="3"/>
  <c r="G492" i="3"/>
  <c r="G285" i="3"/>
  <c r="G565" i="3"/>
  <c r="G546" i="3"/>
  <c r="G194" i="3"/>
  <c r="G195" i="3"/>
  <c r="G211" i="3"/>
  <c r="G187" i="3"/>
  <c r="G145" i="3"/>
  <c r="G157" i="3"/>
  <c r="G68" i="3" l="1"/>
  <c r="D70" i="3" s="1"/>
  <c r="G78" i="3"/>
  <c r="D80" i="3" s="1"/>
  <c r="G95" i="3"/>
  <c r="D97" i="3" s="1"/>
  <c r="G38" i="3"/>
  <c r="D40" i="3" s="1"/>
  <c r="G48" i="3"/>
  <c r="D50" i="3" s="1"/>
  <c r="G102" i="3"/>
  <c r="D104" i="3" s="1"/>
  <c r="G109" i="3"/>
  <c r="D111" i="3" s="1"/>
  <c r="G28" i="3"/>
  <c r="D30" i="3" s="1"/>
  <c r="G317" i="3"/>
  <c r="D319" i="3" s="1"/>
  <c r="G18" i="3"/>
  <c r="D20" i="3" s="1"/>
  <c r="G92" i="1" s="1"/>
  <c r="F392" i="3" s="1"/>
  <c r="G392" i="3" s="1"/>
  <c r="G395" i="3" s="1"/>
  <c r="D397" i="3" s="1"/>
  <c r="G272" i="3"/>
  <c r="D274" i="3" s="1"/>
  <c r="G288" i="3"/>
  <c r="D290" i="3" s="1"/>
  <c r="G467" i="3"/>
  <c r="D469" i="3" s="1"/>
  <c r="G104" i="1" s="1"/>
  <c r="G485" i="3"/>
  <c r="D487" i="3" s="1"/>
  <c r="G105" i="1" s="1"/>
  <c r="G438" i="3"/>
  <c r="D440" i="3" s="1"/>
  <c r="G103" i="1" s="1"/>
  <c r="G566" i="3"/>
  <c r="D568" i="3" s="1"/>
  <c r="G386" i="3"/>
  <c r="D388" i="3" s="1"/>
  <c r="G101" i="1" s="1"/>
  <c r="G540" i="3"/>
  <c r="D542" i="3" s="1"/>
  <c r="G555" i="3"/>
  <c r="D557" i="3" s="1"/>
  <c r="G573" i="3"/>
  <c r="D575" i="3" s="1"/>
  <c r="G350" i="3"/>
  <c r="D352" i="3" s="1"/>
  <c r="G99" i="1" s="1"/>
  <c r="F427" i="3" s="1"/>
  <c r="G427" i="3" s="1"/>
  <c r="G547" i="3"/>
  <c r="D549" i="3" s="1"/>
  <c r="G367" i="3"/>
  <c r="D369" i="3" s="1"/>
  <c r="G409" i="3"/>
  <c r="D411" i="3" s="1"/>
  <c r="G102" i="1" s="1"/>
  <c r="G247" i="3"/>
  <c r="D249" i="3" s="1"/>
  <c r="G98" i="1" s="1"/>
  <c r="F255" i="3" s="1"/>
  <c r="G204" i="3"/>
  <c r="D206" i="3" s="1"/>
  <c r="G96" i="1" s="1"/>
  <c r="F213" i="3" s="1"/>
  <c r="G196" i="3"/>
  <c r="D198" i="3" s="1"/>
  <c r="G95" i="1" s="1"/>
  <c r="F212" i="3" s="1"/>
  <c r="G149" i="3"/>
  <c r="D151" i="3" s="1"/>
  <c r="G94" i="1" s="1"/>
  <c r="F156" i="3" s="1"/>
  <c r="G7" i="3"/>
  <c r="D9" i="3" s="1"/>
  <c r="G91" i="1" s="1"/>
  <c r="F330" i="3" l="1"/>
  <c r="G330" i="3" s="1"/>
  <c r="G332" i="3" s="1"/>
  <c r="D334" i="3" s="1"/>
  <c r="F453" i="3"/>
  <c r="G453" i="3" s="1"/>
  <c r="F473" i="3"/>
  <c r="G473" i="3" s="1"/>
  <c r="F519" i="3"/>
  <c r="G519" i="3" s="1"/>
  <c r="G523" i="3" s="1"/>
  <c r="D525" i="3" s="1"/>
  <c r="F500" i="3"/>
  <c r="G500" i="3" s="1"/>
  <c r="F373" i="3"/>
  <c r="G373" i="3" s="1"/>
  <c r="F356" i="3"/>
  <c r="G356" i="3" s="1"/>
  <c r="G359" i="3" s="1"/>
  <c r="D361" i="3" s="1"/>
  <c r="F509" i="3"/>
  <c r="G509" i="3" s="1"/>
  <c r="G513" i="3" s="1"/>
  <c r="D515" i="3" s="1"/>
  <c r="F529" i="3"/>
  <c r="G529" i="3" s="1"/>
  <c r="G533" i="3" s="1"/>
  <c r="D535" i="3" s="1"/>
  <c r="F415" i="3"/>
  <c r="G415" i="3" s="1"/>
  <c r="F338" i="3"/>
  <c r="G338" i="3" s="1"/>
  <c r="G341" i="3" s="1"/>
  <c r="D343" i="3" s="1"/>
  <c r="F424" i="3"/>
  <c r="G424" i="3" s="1"/>
  <c r="G428" i="3" s="1"/>
  <c r="D430" i="3" s="1"/>
  <c r="F491" i="3"/>
  <c r="G491" i="3" s="1"/>
  <c r="G494" i="3" s="1"/>
  <c r="D496" i="3" s="1"/>
  <c r="F444" i="3"/>
  <c r="G444" i="3" s="1"/>
  <c r="F416" i="3"/>
  <c r="G416" i="3" s="1"/>
  <c r="F501" i="3"/>
  <c r="G501" i="3" s="1"/>
  <c r="F454" i="3"/>
  <c r="G454" i="3" s="1"/>
  <c r="F445" i="3"/>
  <c r="G445" i="3" s="1"/>
  <c r="F210" i="3"/>
  <c r="G210" i="3" s="1"/>
  <c r="F155" i="3"/>
  <c r="G155" i="3" s="1"/>
  <c r="G138" i="3"/>
  <c r="D140" i="3" s="1"/>
  <c r="F177" i="3"/>
  <c r="G177" i="3" s="1"/>
  <c r="F124" i="3"/>
  <c r="G124" i="3" s="1"/>
  <c r="G126" i="3" s="1"/>
  <c r="D128" i="3" s="1"/>
  <c r="F220" i="3"/>
  <c r="G220" i="3" s="1"/>
  <c r="G224" i="3" s="1"/>
  <c r="D226" i="3" s="1"/>
  <c r="F253" i="3"/>
  <c r="G253" i="3" s="1"/>
  <c r="G474" i="3"/>
  <c r="F475" i="3"/>
  <c r="G475" i="3" s="1"/>
  <c r="G100" i="1"/>
  <c r="F374" i="3" s="1"/>
  <c r="G374" i="3" s="1"/>
  <c r="G255" i="3"/>
  <c r="G238" i="3"/>
  <c r="D240" i="3" s="1"/>
  <c r="G97" i="1" s="1"/>
  <c r="F254" i="3" s="1"/>
  <c r="G212" i="3"/>
  <c r="G156" i="3"/>
  <c r="G166" i="3"/>
  <c r="G171" i="3" s="1"/>
  <c r="D173" i="3" s="1"/>
  <c r="G93" i="1" s="1"/>
  <c r="F179" i="3" s="1"/>
  <c r="G457" i="3" l="1"/>
  <c r="D459" i="3" s="1"/>
  <c r="G377" i="3"/>
  <c r="D379" i="3" s="1"/>
  <c r="G503" i="3"/>
  <c r="D505" i="3" s="1"/>
  <c r="G418" i="3"/>
  <c r="D420" i="3" s="1"/>
  <c r="G447" i="3"/>
  <c r="D449" i="3" s="1"/>
  <c r="G476" i="3"/>
  <c r="D478" i="3" s="1"/>
  <c r="G254" i="3"/>
  <c r="G256" i="3" s="1"/>
  <c r="D258" i="3" s="1"/>
  <c r="G263" i="3"/>
  <c r="G160" i="3"/>
  <c r="D162" i="3" s="1"/>
  <c r="G179" i="3"/>
  <c r="G181" i="3" s="1"/>
  <c r="D183" i="3" s="1"/>
  <c r="G213" i="3"/>
  <c r="G214" i="3" s="1"/>
  <c r="D216" i="3" s="1"/>
  <c r="G264" i="3" l="1"/>
  <c r="D266"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tc={A67694CD-0E5E-534D-AA37-8B2797F71E56}</author>
  </authors>
  <commentList>
    <comment ref="A91" authorId="0" shapeId="0" xr:uid="{A67694CD-0E5E-534D-AA37-8B2797F71E5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Les allergènes pour pouvoir être effacés et recalculés on doit identifier la première ligne correspondant aux préparations, pour cela on regarde le premier produit commençant par « Prépa »
Réponse :
    Donc ne pas modifier inutilement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tc={56046A4D-0B81-8F4E-BB78-692D6C71192C}</author>
  </authors>
  <commentList>
    <comment ref="A1" authorId="0" shapeId="0" xr:uid="{56046A4D-0B81-8F4E-BB78-692D6C71192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La cellule ne doit pas être vide, vba(Excel) compte mal le nombre de colonne utilisées si cette cellule est vide, et j’ai besoin du nombre de colonnes pour effacer les listes déjà produites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tc={91FEB90F-BFB1-AE41-925E-5AE3FC63F670}</author>
  </authors>
  <commentList>
    <comment ref="A1" authorId="0" shapeId="0" xr:uid="{91FEB90F-BFB1-AE41-925E-5AE3FC63F6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La cellule ne doit pas être vide, vba(Excel) compte mal le nombre de colonne utilisées si cette cellule est vide, et j’ai besoin du nombre de colonnes pour effacer les listes déjà produites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tc={B31EF3CA-20EA-964E-BD83-74B34F89BEC3}</author>
  </authors>
  <commentList>
    <comment ref="B3" authorId="0" shapeId="0" xr:uid="{B31EF3CA-20EA-964E-BD83-74B34F89BEC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Les libellés des préparations doivent nécessairement commencer par « Prépa - »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<sst xmlns="http://schemas.openxmlformats.org/spreadsheetml/2006/main" count="2165" uniqueCount="430">
  <si>
    <t>Produit</t>
  </si>
  <si>
    <t>Fournisseur</t>
  </si>
  <si>
    <t>Adresse</t>
  </si>
  <si>
    <t>N°SIRET</t>
  </si>
  <si>
    <t>Téléphone2</t>
  </si>
  <si>
    <t>Mél1</t>
  </si>
  <si>
    <t>Mél2</t>
  </si>
  <si>
    <t>Téléphone1</t>
  </si>
  <si>
    <t>Lait</t>
  </si>
  <si>
    <t>Œuf</t>
  </si>
  <si>
    <t>Sel fin</t>
  </si>
  <si>
    <t>Gros sel</t>
  </si>
  <si>
    <t>Farine de sarazin</t>
  </si>
  <si>
    <t>Farine de froment</t>
  </si>
  <si>
    <t>Conditionement à l'unité</t>
  </si>
  <si>
    <t>Beurre salé</t>
  </si>
  <si>
    <t>Ail</t>
  </si>
  <si>
    <t>Curry</t>
  </si>
  <si>
    <t>Cerfeuille</t>
  </si>
  <si>
    <t>Thym</t>
  </si>
  <si>
    <t>Laurier</t>
  </si>
  <si>
    <t>Epices x</t>
  </si>
  <si>
    <t>Fromage de chèvre</t>
  </si>
  <si>
    <t>Ammandes effilées</t>
  </si>
  <si>
    <t>Miel d'accacia</t>
  </si>
  <si>
    <t>Piment d'espelette</t>
  </si>
  <si>
    <t>Grosses noix de Saint-Jacques de Saint-Brieuc fraiche</t>
  </si>
  <si>
    <t>Grosses noix de Saint-Jacques de Saint-Brieuc surgelées</t>
  </si>
  <si>
    <t>Poivre</t>
  </si>
  <si>
    <t>Saucisse de Toulouse</t>
  </si>
  <si>
    <t>Moutarde</t>
  </si>
  <si>
    <t>Moutarde ancienne</t>
  </si>
  <si>
    <t>Huile de pépin de raisin</t>
  </si>
  <si>
    <t>Oignon</t>
  </si>
  <si>
    <t>Vin blanc</t>
  </si>
  <si>
    <t>Vin blanc sec</t>
  </si>
  <si>
    <t>Vin blanc demi-sec</t>
  </si>
  <si>
    <t>Vin rouge de Bordeaux xxx</t>
  </si>
  <si>
    <t>Vin rouge de Bordeaux yyy</t>
  </si>
  <si>
    <t>Jus de pomme</t>
  </si>
  <si>
    <t>Jus de poire</t>
  </si>
  <si>
    <t>Jus de cerise</t>
  </si>
  <si>
    <t>Sirop de fraise</t>
  </si>
  <si>
    <t>Breizh cola</t>
  </si>
  <si>
    <t>Carambar</t>
  </si>
  <si>
    <t>Amande d'amande en poudre</t>
  </si>
  <si>
    <t>Vanille de madagascar</t>
  </si>
  <si>
    <t>Arôme vanille</t>
  </si>
  <si>
    <t>Vanille en poudre</t>
  </si>
  <si>
    <t>Pastille de Chocolat noir</t>
  </si>
  <si>
    <t>Pastilles de Chocolat blanc</t>
  </si>
  <si>
    <t>Poire Comice</t>
  </si>
  <si>
    <t>Fraise Mara</t>
  </si>
  <si>
    <t>Sirop d'érable</t>
  </si>
  <si>
    <t>Citron jaune</t>
  </si>
  <si>
    <t>Citron vert</t>
  </si>
  <si>
    <t>Thé</t>
  </si>
  <si>
    <t>Chouchen</t>
  </si>
  <si>
    <t>Pommes Granny Smith</t>
  </si>
  <si>
    <t>METRO</t>
  </si>
  <si>
    <t>TFournisseurs</t>
  </si>
  <si>
    <t>TProduits</t>
  </si>
  <si>
    <t>Litre</t>
  </si>
  <si>
    <t>Kilogramme</t>
  </si>
  <si>
    <t>TUnités</t>
  </si>
  <si>
    <t>Sucre</t>
  </si>
  <si>
    <t>Emmental</t>
  </si>
  <si>
    <t>Jambon de porc</t>
  </si>
  <si>
    <t>Grand Marnier</t>
  </si>
  <si>
    <t>Cognac Breton</t>
  </si>
  <si>
    <t>Café moulu</t>
  </si>
  <si>
    <t>Prix de l'unité par unité de volume</t>
  </si>
  <si>
    <t>Unité de volume</t>
  </si>
  <si>
    <t>Thé vert</t>
  </si>
  <si>
    <t>Thé mandarine</t>
  </si>
  <si>
    <t>Thé earl grey</t>
  </si>
  <si>
    <t>Thé menthe</t>
  </si>
  <si>
    <t>Thé tilleul</t>
  </si>
  <si>
    <t>Prix de l'unité "local"</t>
  </si>
  <si>
    <t>Prix de l'unité "magasin"</t>
  </si>
  <si>
    <t>Saindoux</t>
  </si>
  <si>
    <t>Pièce</t>
  </si>
  <si>
    <t>Nombre</t>
  </si>
  <si>
    <t>Unité</t>
  </si>
  <si>
    <t>Prix unitaire de l'ingrédient</t>
  </si>
  <si>
    <t>Prix de l'ingrédient dans la recette</t>
  </si>
  <si>
    <t>Prix total de la recette</t>
  </si>
  <si>
    <t>"La barate sarazine" (crêpe au beurre)</t>
  </si>
  <si>
    <t>Crepe de sarazin de carhaix</t>
  </si>
  <si>
    <t>Crepe de froment de carhaix</t>
  </si>
  <si>
    <t>Creperie la Carhaisienne</t>
  </si>
  <si>
    <t>"L’Aiolia Bretonne"</t>
  </si>
  <si>
    <t>"La Curry de Madras"</t>
  </si>
  <si>
    <t>Aiguillette de poulet</t>
  </si>
  <si>
    <t>"La Mielleuse de Rocamadour"</t>
  </si>
  <si>
    <t>"Jacques de Carhaix"</t>
  </si>
  <si>
    <t>Prépa - Crème de poirreaux</t>
  </si>
  <si>
    <t>Poireau</t>
  </si>
  <si>
    <t>Prépa - Crème de Rocamadour</t>
  </si>
  <si>
    <t>"La Véritable de Rennes"</t>
  </si>
  <si>
    <t>Prépa - Sauce tomate</t>
  </si>
  <si>
    <t>Tomate</t>
  </si>
  <si>
    <t>Concentré de tomate</t>
  </si>
  <si>
    <t>Huile d'olive</t>
  </si>
  <si>
    <t>Prépa - Sauce moutarde</t>
  </si>
  <si>
    <t>Crème fraiche entière</t>
  </si>
  <si>
    <t>Crème liquide entière</t>
  </si>
  <si>
    <t>"La Complète complète"</t>
  </si>
  <si>
    <t>"L’illusion de Boucheot"</t>
  </si>
  <si>
    <t>Prépa - crème de Boucheot</t>
  </si>
  <si>
    <t>Prépa - crouton aillés</t>
  </si>
  <si>
    <t>Pain - Baguette</t>
  </si>
  <si>
    <t>Pain - complet</t>
  </si>
  <si>
    <t>Type</t>
  </si>
  <si>
    <t>Crêpe de sarazin</t>
  </si>
  <si>
    <t>Préparation</t>
  </si>
  <si>
    <t>"Kir breton"</t>
  </si>
  <si>
    <t>Crême de mûr</t>
  </si>
  <si>
    <t>Appéritif</t>
  </si>
  <si>
    <t>Cidre brut</t>
  </si>
  <si>
    <t>"Kir vin blanc"</t>
  </si>
  <si>
    <t>"Jus de fruit"</t>
  </si>
  <si>
    <t>"Bolée de cidre doux"</t>
  </si>
  <si>
    <t>"Lait frais"</t>
  </si>
  <si>
    <t>"Lait fraise"</t>
  </si>
  <si>
    <t>"Bolée de cidre brut"</t>
  </si>
  <si>
    <t>"Verre de vin rouge Breton"</t>
  </si>
  <si>
    <t>Cidre doux</t>
  </si>
  <si>
    <t>Recette</t>
  </si>
  <si>
    <t>Cout unitaire</t>
  </si>
  <si>
    <t>TTypesRecettes</t>
  </si>
  <si>
    <t>Boisson</t>
  </si>
  <si>
    <t>Marge %</t>
  </si>
  <si>
    <t>Marge euros</t>
  </si>
  <si>
    <t>Prix de vente</t>
  </si>
  <si>
    <t>Prix de vente minimum garantissant marge et cout</t>
  </si>
  <si>
    <t>Loyer</t>
  </si>
  <si>
    <t>Eau</t>
  </si>
  <si>
    <t>Nombre de portion</t>
  </si>
  <si>
    <t>n°semaine 2023</t>
  </si>
  <si>
    <t>La Frangiapane</t>
  </si>
  <si>
    <t>La Tout Choco</t>
  </si>
  <si>
    <t>La Comice du chocolatier</t>
  </si>
  <si>
    <t>La gourmandise blanche</t>
  </si>
  <si>
    <t>Le Grand Mara</t>
  </si>
  <si>
    <t>La Canadienne</t>
  </si>
  <si>
    <t>La Citronée</t>
  </si>
  <si>
    <t>La Suzette</t>
  </si>
  <si>
    <t>La suzette flambée Grand Marnier ©</t>
  </si>
  <si>
    <t>Cognac breton 10cL</t>
  </si>
  <si>
    <t>Café</t>
  </si>
  <si>
    <t>Chocolat chaud</t>
  </si>
  <si>
    <t>Chouchen 5cL</t>
  </si>
  <si>
    <t>Digestif</t>
  </si>
  <si>
    <t>Crêpe de froment sucrée</t>
  </si>
  <si>
    <t>Crêpe de froment au chocolat</t>
  </si>
  <si>
    <t>Crêpe de froment fruitée</t>
  </si>
  <si>
    <t>"La Beurre"</t>
  </si>
  <si>
    <t>"La Beurre Sucre"</t>
  </si>
  <si>
    <t>"La Caramel Beurre Sallé"</t>
  </si>
  <si>
    <t>"La Carambar"</t>
  </si>
  <si>
    <t>"La Pomme-Caramel"</t>
  </si>
  <si>
    <t>Prépa - caramel beurre salé</t>
  </si>
  <si>
    <t>Prépa - crème carambar</t>
  </si>
  <si>
    <t>Prépa - pomme sautées</t>
  </si>
  <si>
    <t>Prépa - crème frangipane</t>
  </si>
  <si>
    <t>Rhum</t>
  </si>
  <si>
    <t>Prépa - sauce chocolat</t>
  </si>
  <si>
    <t>Prépa - sauce chocolat blanc</t>
  </si>
  <si>
    <t>Prépa - pommes cuites</t>
  </si>
  <si>
    <t>Nbre jours d'ouverture</t>
  </si>
  <si>
    <t>Nbre jours d'ouverture avec coupure</t>
  </si>
  <si>
    <t>Nbre d'heures d'ouverture par jour avec coupure</t>
  </si>
  <si>
    <t>Nbre jours d'ouverture sans coupure</t>
  </si>
  <si>
    <t>Nbre d'heures d'ouverture par jour sans coupure</t>
  </si>
  <si>
    <t>Nbre couverts le midi</t>
  </si>
  <si>
    <t>Nbre couverts l'après-midi</t>
  </si>
  <si>
    <t>Nbre couverts le soir</t>
  </si>
  <si>
    <t>Ticket moyen midi et après-midi</t>
  </si>
  <si>
    <t>Ticket moyen soir</t>
  </si>
  <si>
    <t>Prix de revient du ticket moyen (coût matière)</t>
  </si>
  <si>
    <t>Nbre de salaires au SMIC salarié</t>
  </si>
  <si>
    <t>Nbre de salaires au SMIC gérant</t>
  </si>
  <si>
    <t>Montant du SMIC mensuel salarié</t>
  </si>
  <si>
    <t>Montant du SMIC mensuel gérant</t>
  </si>
  <si>
    <t>Consommation horaire d'une crêpière électrique</t>
  </si>
  <si>
    <t>Prix du m3 d'eau</t>
  </si>
  <si>
    <t>Mutuelle</t>
  </si>
  <si>
    <t>Jours avec coupure</t>
  </si>
  <si>
    <t>Jours sans coupure</t>
  </si>
  <si>
    <t>Total</t>
  </si>
  <si>
    <t>Moyenne par jour d'ouverture</t>
  </si>
  <si>
    <t>Entrées d'argent</t>
  </si>
  <si>
    <t>Sorties d'argent</t>
  </si>
  <si>
    <t>Achats</t>
  </si>
  <si>
    <t>Salaires</t>
  </si>
  <si>
    <t>Remboursement emprunt</t>
  </si>
  <si>
    <t>Achat fonds de commerce, travaux et aménagement</t>
  </si>
  <si>
    <t>TVA</t>
  </si>
  <si>
    <t>Comptable</t>
  </si>
  <si>
    <t>Tenue de la comptabilité, réalisation du bilan et du compte de résultat, dépôt des comptes, contrats, attestations employeurs etc.</t>
  </si>
  <si>
    <t>Electricité (autre que crêpières)</t>
  </si>
  <si>
    <t>Chauffage, climatisation, réfrigérateurs, lumière, enseigne etc. + abonnement triphasé 30 kVA</t>
  </si>
  <si>
    <t>Moyenne de 20 litres d'eau par couvert : préparation du repas, plonge, utilisation des toilettes</t>
  </si>
  <si>
    <t>Commission CB et tickets restaurant</t>
  </si>
  <si>
    <t>0,8 % du CA payé avec ces modes de paiement. CB et TR représentent 75% des paiements</t>
  </si>
  <si>
    <t>Maintenance</t>
  </si>
  <si>
    <t>Plombier, réparations et entretiens divers etc.</t>
  </si>
  <si>
    <t>Produits d'entretien</t>
  </si>
  <si>
    <t>Produits, éponges, lavettes, lessive, détergents etc.</t>
  </si>
  <si>
    <t xml:space="preserve">Taxes diverses </t>
  </si>
  <si>
    <t>CFE, taxe d'apprentissage, droit de terrasse etc.</t>
  </si>
  <si>
    <t>Assurances</t>
  </si>
  <si>
    <t>Assurance des biens et responsabilité civile. Pas d'assurance perte d'exploitation ou autre.</t>
  </si>
  <si>
    <t>Frais bancaires</t>
  </si>
  <si>
    <t>Tenue de compte, commission de mouvement, assistance TPE etc.</t>
  </si>
  <si>
    <t>Téléphone et accès internet</t>
  </si>
  <si>
    <t>Vêtements de travail</t>
  </si>
  <si>
    <t>Tabliers, polos brodés, chaussures de sécurité etc.</t>
  </si>
  <si>
    <t>Sacem</t>
  </si>
  <si>
    <t>Electricité crêpières</t>
  </si>
  <si>
    <t>Consommation horaire d'une crêpière x nombre d'heures d'ouverture x 3 crêpières</t>
  </si>
  <si>
    <t>Publicité et communication</t>
  </si>
  <si>
    <t>Hébergement du site internet, nom de domaine, flyers, cartes de visite etc. On suppose ici que le site internet est développé par les gérants et la communications vers les réseaux sociaux réalisée également en interne</t>
  </si>
  <si>
    <t>Dépenses diverses (5% du total des coûts)</t>
  </si>
  <si>
    <t>Remplacement d'un lave-vaisselle, achat de vaisselle etc.</t>
  </si>
  <si>
    <t>Total général</t>
  </si>
  <si>
    <t>NJO</t>
  </si>
  <si>
    <t>NHOJC</t>
  </si>
  <si>
    <t>NJOSC</t>
  </si>
  <si>
    <t>NHOJSC</t>
  </si>
  <si>
    <t>NCM</t>
  </si>
  <si>
    <t>NCAM</t>
  </si>
  <si>
    <t>NCPM</t>
  </si>
  <si>
    <t>TM</t>
  </si>
  <si>
    <t>TMS</t>
  </si>
  <si>
    <t>CTM</t>
  </si>
  <si>
    <t>NSS</t>
  </si>
  <si>
    <t>NSG</t>
  </si>
  <si>
    <t>MMS</t>
  </si>
  <si>
    <t>MMG</t>
  </si>
  <si>
    <t>CHCE</t>
  </si>
  <si>
    <t>CE</t>
  </si>
  <si>
    <t>M</t>
  </si>
  <si>
    <t>NCS</t>
  </si>
  <si>
    <t>[ NCAM x TM + NCPM x TM + NCS x TMS ] x NJOSC</t>
  </si>
  <si>
    <t>NSS x MMS + NSG x MMG</t>
  </si>
  <si>
    <t>NJOAC</t>
  </si>
  <si>
    <t>NJO - NJOAC</t>
  </si>
  <si>
    <t>[ NCAM x TM + NCS x TMS ] x NJOAC</t>
  </si>
  <si>
    <t>Moyenne du volume d'eau neccessaire par couvert (Litres)</t>
  </si>
  <si>
    <t>MVENC</t>
  </si>
  <si>
    <t>Nbre couverts les jours sans coupure</t>
  </si>
  <si>
    <t>Nbre couverts les jours avec coupure</t>
  </si>
  <si>
    <t>NCJSC</t>
  </si>
  <si>
    <t>NCJAC</t>
  </si>
  <si>
    <t>NCAM + NCPM + NCS</t>
  </si>
  <si>
    <t>NCAM + NCS</t>
  </si>
  <si>
    <t xml:space="preserve">NJOSC x NCJSC x  CTM + NJOAC x NCJAC x CTM </t>
  </si>
  <si>
    <t>Nbre couverts par mois</t>
  </si>
  <si>
    <t>NCJAC * NJOAC + NCJSC * NJOSC</t>
  </si>
  <si>
    <t>Pourcentage des paiements en CB &amp; TR</t>
  </si>
  <si>
    <t>CA</t>
  </si>
  <si>
    <t>PPCBTR</t>
  </si>
  <si>
    <t>Pourcentage commission CB TR</t>
  </si>
  <si>
    <t>PCCBTR</t>
  </si>
  <si>
    <t>NCM x CE x MVENC / 1000 x PPCBTR</t>
  </si>
  <si>
    <t>NS</t>
  </si>
  <si>
    <t>Nombre de salariés de l'entreprise</t>
  </si>
  <si>
    <t>CA / NJO</t>
  </si>
  <si>
    <t>CA x PPCBTR/100 x PCCBTR/100</t>
  </si>
  <si>
    <t>Nombre de billigs eléctriques</t>
  </si>
  <si>
    <t>( NJOAC x NHOJC + NJOSC x NHOJSC ) x NB x CHCE</t>
  </si>
  <si>
    <t>DEP</t>
  </si>
  <si>
    <t>Marge globale</t>
  </si>
  <si>
    <t>Pourcentage rentabilité</t>
  </si>
  <si>
    <t>CA - DEP</t>
  </si>
  <si>
    <t>MAR</t>
  </si>
  <si>
    <t>100 x MAR / CA</t>
  </si>
  <si>
    <t>PRENT</t>
  </si>
  <si>
    <t>NSS + NSG</t>
  </si>
  <si>
    <t>Totaux</t>
  </si>
  <si>
    <t>Produits</t>
  </si>
  <si>
    <t>Etat du stock semaine précédente</t>
  </si>
  <si>
    <t>Seuil critique</t>
  </si>
  <si>
    <t>Ventes</t>
  </si>
  <si>
    <t>Pertes observées</t>
  </si>
  <si>
    <t>Paramètre "seuil critique", nombre de couverts devant pouvoir être satisfaits :</t>
  </si>
  <si>
    <t>metro@boulot.dodo</t>
  </si>
  <si>
    <t>0000000</t>
  </si>
  <si>
    <t>01 02 03 04 06</t>
  </si>
  <si>
    <t>beta@yahoo.fr</t>
  </si>
  <si>
    <t>2 rue des accacias</t>
  </si>
  <si>
    <t>3333333</t>
  </si>
  <si>
    <t>04 05 06 07 08</t>
  </si>
  <si>
    <t>beta@gmail.com</t>
  </si>
  <si>
    <t>14 avenue de waterloo</t>
  </si>
  <si>
    <t>35 rue du bourbonnais 35000 Rennes</t>
  </si>
  <si>
    <t>12 rue Nationale 35460 Fougères</t>
  </si>
  <si>
    <t>Au sommet du mont-blanc</t>
  </si>
  <si>
    <t>en rouge les clés qui permettent d'identifier de manière unique l'élément dans la table</t>
  </si>
  <si>
    <t>chez moi</t>
  </si>
  <si>
    <t>7777777777</t>
  </si>
  <si>
    <t>06 78 05 20 22</t>
  </si>
  <si>
    <t>en jaune les reference à d'autre objet (on utilise les identifiants uniques)</t>
  </si>
  <si>
    <t>Marge</t>
  </si>
  <si>
    <t>Marge (entre 0 et 1)</t>
  </si>
  <si>
    <t>Alèrgène1</t>
  </si>
  <si>
    <t>Alèrgène2</t>
  </si>
  <si>
    <t>Alèrgène3</t>
  </si>
  <si>
    <t>Alèrgène4</t>
  </si>
  <si>
    <t>Alèrgène5</t>
  </si>
  <si>
    <t>Alèrgène6</t>
  </si>
  <si>
    <t>Alèrgène7</t>
  </si>
  <si>
    <t>Alèrgène8</t>
  </si>
  <si>
    <t>Alèrgène9</t>
  </si>
  <si>
    <t>Alèrgène10</t>
  </si>
  <si>
    <t>1. CÉRÉALES CONTENANT DU GLUTEN (KAMUT, ÉPEAUTRE, SEIGLE, AVOINE, BLÉ, ORGE) ET PRODUITS À BASE DE CES CÉRÉALES (ker sabot)</t>
  </si>
  <si>
    <t xml:space="preserve">Faire figurer sur l’emballage la présence des substances suivantes n’est pas obligatoire : </t>
  </si>
  <si>
    <t>-Sirops de glucose à base d'orge</t>
  </si>
  <si>
    <t>-Céréales utilisées pour la fabrication de distillats ou d'alcool éthylique d'origine agricole pour les boissons spiritueuses et autres boissons alcooliques.</t>
  </si>
  <si>
    <t>2. ŒUFS ET PRODUITS À BASE D’ŒUFS</t>
  </si>
  <si>
    <t>3. LAIT ET PRODUITS À BASE DE LAIT (Y COMPRIS DE LACTOSE :  Intolérance au lactose, APLV Allergie aux protéines de vaches)</t>
  </si>
  <si>
    <t>L’obligation ne s’applique pas au Lactosérum utilisé pour la fabrication de distillats ou alcool éthylique d'origine agricole pour les boissons spiritueuses et d'autres boissons alcooliques, et ne s’applique pas au Lactitol</t>
  </si>
  <si>
    <t>Info : La fermentation/L’affinage consomme les sucres (donc le lactose peut être diminué et donc être moins nuisible s’il a été affiné par exemple)</t>
  </si>
  <si>
    <t>4. ARACHIDES ET PRODUITS À BASE D'ARACHIDES</t>
  </si>
  <si>
    <t>5. FRUITS À COQUES (AMANDES, NOISETTES, NOIX, NOIX DE CAJOU, PÉCAN, MACADAMIA, DU BRÉSIL, DU QUEENSLAND, PISTACHES) ET PRODUITS À BASE DE CES FRUITS</t>
  </si>
  <si>
    <t>Sauf les fruits à coque utilisés pour la fabrication de distillats ou d'alcool éthylique d'origine agricole pour les boissons spiritueuses et d'autres boissons alcooliques.</t>
  </si>
  <si>
    <t>7. CÉLERI ET PRODUITS À BASE DE CÉLERI</t>
  </si>
  <si>
    <t>6. SOJA ET PRODUITS À BASE DE SOJA</t>
  </si>
  <si>
    <t>L’obligation ne s’applique pas aux éléments suivants :</t>
  </si>
  <si>
    <t>Huile et graisse de soja entièrement raffinées</t>
  </si>
  <si>
    <t>Tocophérols mixtes naturels</t>
  </si>
  <si>
    <t>Phytostérols et esters de phytostérol dérivés d'huiles végétales de soja</t>
  </si>
  <si>
    <t>Ester de stanol végétal produit à partir de stérols dérivés d'huiles végétales de soja</t>
  </si>
  <si>
    <t>8. MOUTARDE ET PRODUITS À BASE DE MOUTARDE</t>
  </si>
  <si>
    <t>9. SÉSAME ET PRODUITS À BASE DE GRAINES DE SÉSAME</t>
  </si>
  <si>
    <t>10. LUPIN ET PRODUITS À BASE DE LUPIN</t>
  </si>
  <si>
    <t>11. CRUSTACÉS ET PRODUITS À BASE DE CRUSTACÉS</t>
  </si>
  <si>
    <t>12. MOLLUSQUES ET PRODUITS À BASE DE MOLLUSQUES</t>
  </si>
  <si>
    <t>13. POISSONS ET PRODUITS À BASE DE POISSONS</t>
  </si>
  <si>
    <t>Ce n'est pas le cas de la gélatine de poisson utilisée comme support pour les préparations de vitamines, de caroténoïdes ou d'ichtyocolle par exemple (utilisée comme agent de clarification dans la bière et le vin).</t>
  </si>
  <si>
    <t>14. ANHYDRIDE SULFUREUX ET SULFITES EN CONCENTRATION DE PLUS DE 10 MG/KG OU 10 MG/L</t>
  </si>
  <si>
    <t>TAllergenes</t>
  </si>
  <si>
    <t>https://allergies-alimentaires.org/9-allergenes-prioritaires/allergie-aux-poissons-crustaces-mollusques/</t>
  </si>
  <si>
    <t>Alèrgène11</t>
  </si>
  <si>
    <t>Alèrgène12</t>
  </si>
  <si>
    <t>Alèrgène13</t>
  </si>
  <si>
    <t>Alèrgène14</t>
  </si>
  <si>
    <t>Alèrgène15</t>
  </si>
  <si>
    <t>Alèrgène16</t>
  </si>
  <si>
    <t>Alèrgène17</t>
  </si>
  <si>
    <t>Alèrgène18</t>
  </si>
  <si>
    <t>Alèrgène19</t>
  </si>
  <si>
    <t>Prépa - Pâton crêpe de Sarazin  de Carhaix</t>
  </si>
  <si>
    <t>Prépa - Pâton crêpe de Froment de Carhaix</t>
  </si>
  <si>
    <t>Allergenes</t>
  </si>
  <si>
    <t>5555555</t>
  </si>
  <si>
    <t>6666666</t>
  </si>
  <si>
    <t>88888888</t>
  </si>
  <si>
    <t>010101010</t>
  </si>
  <si>
    <t>02 29 36 54 25</t>
  </si>
  <si>
    <t>03 56 25 58 54</t>
  </si>
  <si>
    <t>07 28 54 12 25</t>
  </si>
  <si>
    <t>07 29 35 56 58</t>
  </si>
  <si>
    <t>Mr. Kertado</t>
  </si>
  <si>
    <t>Mme. Leguert</t>
  </si>
  <si>
    <t>Mr. &amp; Mme. Ploert</t>
  </si>
  <si>
    <t>Mr. &amp; Mme. Bernout</t>
  </si>
  <si>
    <t>Mr. Lochtert</t>
  </si>
  <si>
    <t>Mr. Lessage</t>
  </si>
  <si>
    <t>ZI de Kergaradec, 2 Rue Henri Becquerel, 29850 Gouesnou</t>
  </si>
  <si>
    <t>1 rue bidon</t>
  </si>
  <si>
    <t>05 24 58 74 25</t>
  </si>
  <si>
    <t>06 85 41 25 48</t>
  </si>
  <si>
    <t>06 23 56 98 85</t>
  </si>
  <si>
    <t>jeanpaul.vallee1@gmail.com</t>
  </si>
  <si>
    <t>Mr. Rubben</t>
  </si>
  <si>
    <t>C'est ce tableau qu'il faut regarder pour voir les produits présents dans les recettes fournis par les fournisseurs</t>
  </si>
  <si>
    <t>Ratio</t>
  </si>
  <si>
    <t>"Breizh Cola"</t>
  </si>
  <si>
    <t>Céréales contenant du gluten</t>
  </si>
  <si>
    <t>Arachides</t>
  </si>
  <si>
    <t>Fruits à coques</t>
  </si>
  <si>
    <t>Céleri</t>
  </si>
  <si>
    <t>Soja</t>
  </si>
  <si>
    <t>Sésame</t>
  </si>
  <si>
    <t>Lupin</t>
  </si>
  <si>
    <t>Crustacés</t>
  </si>
  <si>
    <t>Mollusques</t>
  </si>
  <si>
    <t>Poissons</t>
  </si>
  <si>
    <t>Anhydride sulfureux et sulfites</t>
  </si>
  <si>
    <t>Œufs</t>
  </si>
  <si>
    <t xml:space="preserve">Céréales contenant du gluten ; Œufs ; Lait ; </t>
  </si>
  <si>
    <t xml:space="preserve">Céréales contenant du gluten ; Œufs ; Lait ; Fruits à coques ; </t>
  </si>
  <si>
    <t xml:space="preserve">Céréales contenant du gluten ; Œufs ; Lait ; Mollusques ; </t>
  </si>
  <si>
    <t xml:space="preserve">Céréales contenant du gluten ; Œufs ; Lait ; Fruits à coques ; Moutarde ; </t>
  </si>
  <si>
    <t xml:space="preserve">Céréales contenant du gluten ; Œufs ; Lait ; Anhydride sulfureux et sulfites ; </t>
  </si>
  <si>
    <t xml:space="preserve">Lait ; </t>
  </si>
  <si>
    <t xml:space="preserve">Céréales contenant du gluten ; Œufs ; Lait ; Arachides ; </t>
  </si>
  <si>
    <t xml:space="preserve">Lait ; Fruits à coques ; </t>
  </si>
  <si>
    <t>"Le Nuage de Molène"</t>
  </si>
  <si>
    <t>Prépa - Pâton galette de Sarazin</t>
  </si>
  <si>
    <t>Prépa - Pâte à crêpes de Froment</t>
  </si>
  <si>
    <t>Crêperie "Le Poisson Rouge"</t>
  </si>
  <si>
    <t>"L'essentielle"</t>
  </si>
  <si>
    <t>Prépa - Champignon</t>
  </si>
  <si>
    <t>Champignons</t>
  </si>
  <si>
    <t>Prépa - Oignons</t>
  </si>
  <si>
    <t>Prépa - Camemberts panés</t>
  </si>
  <si>
    <t>Prépa - Jus de citron</t>
  </si>
  <si>
    <t>Prépa - café froid</t>
  </si>
  <si>
    <t>Prépa - Pommes de terre cuites à l'eau</t>
  </si>
  <si>
    <t>Prépa - Lardon cuits</t>
  </si>
  <si>
    <t>Camembert</t>
  </si>
  <si>
    <t>Panure de pain</t>
  </si>
  <si>
    <t>Pommes de terre</t>
  </si>
  <si>
    <t>Pomme précuites</t>
  </si>
  <si>
    <t>Lardons de porc</t>
  </si>
  <si>
    <t>Prépa - Crème de ciboulette</t>
  </si>
  <si>
    <t>Prépa - Epinards crémés</t>
  </si>
  <si>
    <t>Epnard congelés</t>
  </si>
  <si>
    <t>Prépa - Bretonne</t>
  </si>
  <si>
    <t>Prépa - Saucisse au muscadet</t>
  </si>
  <si>
    <t>Saucisse congelées</t>
  </si>
  <si>
    <t>Poisson rouge - Farine de sarazin du moulin de la Fatigue</t>
  </si>
  <si>
    <t>Poisson rouge - Farine de froment T55</t>
  </si>
  <si>
    <t>Moulin de la Fatigue</t>
  </si>
  <si>
    <t>17 quai Leray, 44210 Pornic</t>
  </si>
  <si>
    <t>02 40 82 02 51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</si>
</sst>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 &quot;€&quot;"/>
  </numFmts>
  <fonts count="10" x14ac:knownFonts="1">
    <font>
      <sz val="12"/>
      <color theme="1"/>
      <name val="Calibri"/>
      <family val="2"/>
      <scheme val="minor"/>
    </font>
    <font>
      <b/>
      <sz val="12"/>
      <color theme="0"/>
      <name val="Calibri"/>
      <family val="2"/>
      <scheme val="minor"/>
    </font>
    <font>
      <b/>
      <sz val="12"/>
      <color theme="1"/>
      <name val="Calibri"/>
      <family val="2"/>
      <scheme val="minor"/>
    </font>
    <font>
      <sz val="12"/>
      <color theme="0"/>
      <name val="Calibri"/>
      <family val="2"/>
      <scheme val="minor"/>
    </font>
    <font>
      <b/>
      <sz val="11"/>
      <color theme="1"/>
      <name val="Calibri"/>
      <family val="2"/>
      <scheme val="minor"/>
    </font>
    <font>
      <sz val="12"/>
      <color rgb="FF000000"/>
      <name val="Calibri"/>
      <family val="2"/>
    </font>
    <font>
      <b/>
      <i/>
      <sz val="12"/>
      <color theme="0"/>
      <name val="Calibri"/>
      <family val="2"/>
      <scheme val="minor"/>
    </font>
    <font>
      <i/>
      <sz val="12"/>
      <color theme="0"/>
      <name val="Calibri"/>
      <family val="2"/>
      <scheme val="minor"/>
    </font>
    <font>
      <sz val="12"/>
      <name val="Calibri"/>
      <family val="2"/>
      <scheme val="minor"/>
    </font>
    <font>
      <sz val="12"/>
      <color rgb="FF000000"/>
      <name val="Arial"/>
      <family val="2"/>
    </font>
  </fonts>
  <fills count="24">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4"/>
        <bgColor indexed="64"/>
      </patternFill>
    </fill>
    <fill>
      <patternFill patternType="solid">
        <fgColor theme="5"/>
        <bgColor indexed="64"/>
      </patternFill>
    </fill>
    <fill>
      <patternFill patternType="solid">
        <fgColor rgb="FFFFC000"/>
        <bgColor indexed="64"/>
      </patternFill>
    </fill>
    <fill>
      <patternFill patternType="solid">
        <fgColor theme="5" tint="0.39997558519241921"/>
        <bgColor indexed="64"/>
      </patternFill>
    </fill>
    <fill>
      <patternFill patternType="solid">
        <fgColor theme="8" tint="0.79998168889431442"/>
        <bgColor indexed="64"/>
      </patternFill>
    </fill>
    <fill>
      <patternFill patternType="solid">
        <fgColor theme="9"/>
        <bgColor indexed="64"/>
      </patternFill>
    </fill>
    <fill>
      <patternFill patternType="solid">
        <fgColor rgb="FF5B3413"/>
        <bgColor indexed="64"/>
      </patternFill>
    </fill>
    <fill>
      <patternFill patternType="solid">
        <fgColor rgb="FFF61066"/>
        <bgColor indexed="64"/>
      </patternFill>
    </fill>
    <fill>
      <patternFill patternType="solid">
        <fgColor rgb="FF68CAE8"/>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7"/>
        <bgColor indexed="64"/>
      </patternFill>
    </fill>
    <fill>
      <patternFill patternType="solid">
        <fgColor rgb="FFEDABAD"/>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5" tint="0.7999816888943144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136">
    <xf numFmtId="0" fontId="0" fillId="0" borderId="0" xfId="0"/>
    <xf numFmtId="0" fontId="1" fillId="2" borderId="0" xfId="0" applyFont="1" applyFill="1"/>
    <xf numFmtId="0" fontId="0" fillId="0" borderId="1" xfId="0" applyBorder="1"/>
    <xf numFmtId="0" fontId="0" fillId="3" borderId="1" xfId="0" applyFill="1" applyBorder="1"/>
    <xf numFmtId="49" fontId="1" fillId="2" borderId="1" xfId="0" applyNumberFormat="1" applyFont="1" applyFill="1" applyBorder="1" applyAlignment="1">
      <alignment horizontal="center" vertical="center" wrapText="1"/>
    </xf>
    <xf numFmtId="2" fontId="1" fillId="2" borderId="1" xfId="0" applyNumberFormat="1" applyFont="1" applyFill="1" applyBorder="1" applyAlignment="1">
      <alignment horizontal="center" vertical="center" wrapText="1"/>
    </xf>
    <xf numFmtId="164" fontId="0" fillId="0" borderId="1" xfId="0" applyNumberFormat="1" applyBorder="1"/>
    <xf numFmtId="2" fontId="1" fillId="2" borderId="0" xfId="0" applyNumberFormat="1" applyFont="1" applyFill="1"/>
    <xf numFmtId="2" fontId="0" fillId="0" borderId="1" xfId="0" applyNumberFormat="1" applyBorder="1"/>
    <xf numFmtId="2" fontId="0" fillId="0" borderId="0" xfId="0" applyNumberFormat="1"/>
    <xf numFmtId="164" fontId="1" fillId="2" borderId="0" xfId="0" applyNumberFormat="1" applyFont="1" applyFill="1"/>
    <xf numFmtId="164" fontId="0" fillId="0" borderId="0" xfId="0" applyNumberFormat="1"/>
    <xf numFmtId="0" fontId="1" fillId="7" borderId="0" xfId="0" applyFont="1" applyFill="1"/>
    <xf numFmtId="164" fontId="1" fillId="7" borderId="0" xfId="0" applyNumberFormat="1" applyFont="1" applyFill="1"/>
    <xf numFmtId="2" fontId="1" fillId="7" borderId="0" xfId="0" applyNumberFormat="1" applyFont="1" applyFill="1"/>
    <xf numFmtId="0" fontId="2" fillId="0" borderId="0" xfId="0" applyFont="1"/>
    <xf numFmtId="0" fontId="1" fillId="8" borderId="0" xfId="0" applyFont="1" applyFill="1"/>
    <xf numFmtId="164" fontId="1" fillId="8" borderId="0" xfId="0" applyNumberFormat="1" applyFont="1" applyFill="1"/>
    <xf numFmtId="2" fontId="1" fillId="8" borderId="0" xfId="0" applyNumberFormat="1" applyFont="1" applyFill="1"/>
    <xf numFmtId="0" fontId="1" fillId="0" borderId="0" xfId="0" applyFont="1"/>
    <xf numFmtId="49" fontId="1" fillId="2" borderId="6" xfId="0" applyNumberFormat="1" applyFont="1" applyFill="1" applyBorder="1" applyAlignment="1">
      <alignment horizontal="center" vertical="center" wrapText="1"/>
    </xf>
    <xf numFmtId="0" fontId="1" fillId="13" borderId="0" xfId="0" applyFont="1" applyFill="1"/>
    <xf numFmtId="164" fontId="1" fillId="13" borderId="0" xfId="0" applyNumberFormat="1" applyFont="1" applyFill="1"/>
    <xf numFmtId="2" fontId="1" fillId="13" borderId="0" xfId="0" applyNumberFormat="1" applyFont="1" applyFill="1"/>
    <xf numFmtId="0" fontId="1" fillId="15" borderId="0" xfId="0" applyFont="1" applyFill="1"/>
    <xf numFmtId="164" fontId="1" fillId="15" borderId="0" xfId="0" applyNumberFormat="1" applyFont="1" applyFill="1"/>
    <xf numFmtId="2" fontId="1" fillId="15" borderId="0" xfId="0" applyNumberFormat="1" applyFont="1" applyFill="1"/>
    <xf numFmtId="0" fontId="1" fillId="14" borderId="0" xfId="0" applyFont="1" applyFill="1"/>
    <xf numFmtId="164" fontId="1" fillId="14" borderId="0" xfId="0" applyNumberFormat="1" applyFont="1" applyFill="1"/>
    <xf numFmtId="2" fontId="1" fillId="14" borderId="0" xfId="0" applyNumberFormat="1" applyFont="1" applyFill="1"/>
    <xf numFmtId="2" fontId="1" fillId="2" borderId="6" xfId="0" applyNumberFormat="1" applyFont="1" applyFill="1" applyBorder="1" applyAlignment="1">
      <alignment horizontal="center" vertical="center" wrapText="1"/>
    </xf>
    <xf numFmtId="2" fontId="0" fillId="11" borderId="7" xfId="0" applyNumberFormat="1" applyFill="1" applyBorder="1" applyAlignment="1">
      <alignment horizontal="center"/>
    </xf>
    <xf numFmtId="2" fontId="0" fillId="11" borderId="4" xfId="0" applyNumberFormat="1" applyFill="1" applyBorder="1"/>
    <xf numFmtId="2" fontId="0" fillId="9" borderId="5" xfId="0" applyNumberFormat="1" applyFill="1" applyBorder="1"/>
    <xf numFmtId="2" fontId="0" fillId="12" borderId="8" xfId="0" applyNumberFormat="1" applyFill="1" applyBorder="1" applyAlignment="1">
      <alignment horizontal="center" vertical="center"/>
    </xf>
    <xf numFmtId="0" fontId="0" fillId="4" borderId="9" xfId="0" applyFill="1" applyBorder="1"/>
    <xf numFmtId="0" fontId="0" fillId="4" borderId="10" xfId="0" applyFill="1" applyBorder="1"/>
    <xf numFmtId="0" fontId="0" fillId="4" borderId="11" xfId="0" applyFill="1" applyBorder="1"/>
    <xf numFmtId="0" fontId="0" fillId="4" borderId="12" xfId="0" applyFill="1" applyBorder="1"/>
    <xf numFmtId="0" fontId="0" fillId="4" borderId="13" xfId="0" applyFill="1" applyBorder="1"/>
    <xf numFmtId="0" fontId="0" fillId="4" borderId="14" xfId="0" applyFill="1" applyBorder="1"/>
    <xf numFmtId="165" fontId="0" fillId="4" borderId="14" xfId="0" applyNumberFormat="1" applyFill="1" applyBorder="1"/>
    <xf numFmtId="3" fontId="0" fillId="4" borderId="14" xfId="0" applyNumberFormat="1" applyFill="1" applyBorder="1"/>
    <xf numFmtId="165" fontId="0" fillId="4" borderId="12" xfId="0" applyNumberFormat="1" applyFill="1" applyBorder="1"/>
    <xf numFmtId="3" fontId="0" fillId="4" borderId="10" xfId="0" applyNumberFormat="1" applyFill="1" applyBorder="1"/>
    <xf numFmtId="0" fontId="0" fillId="4" borderId="15" xfId="0" applyFill="1" applyBorder="1"/>
    <xf numFmtId="165" fontId="0" fillId="4" borderId="16" xfId="0" applyNumberFormat="1" applyFill="1" applyBorder="1"/>
    <xf numFmtId="0" fontId="2" fillId="17" borderId="12" xfId="0" applyFont="1" applyFill="1" applyBorder="1"/>
    <xf numFmtId="0" fontId="2" fillId="17" borderId="10" xfId="0" applyFont="1" applyFill="1" applyBorder="1"/>
    <xf numFmtId="165" fontId="2" fillId="0" borderId="0" xfId="0" applyNumberFormat="1" applyFont="1"/>
    <xf numFmtId="0" fontId="2" fillId="17" borderId="14" xfId="0" applyFont="1" applyFill="1" applyBorder="1"/>
    <xf numFmtId="4" fontId="0" fillId="4" borderId="14" xfId="0" applyNumberFormat="1" applyFill="1" applyBorder="1"/>
    <xf numFmtId="0" fontId="0" fillId="4" borderId="16" xfId="0" applyFill="1" applyBorder="1"/>
    <xf numFmtId="3" fontId="2" fillId="17" borderId="14" xfId="0" applyNumberFormat="1" applyFont="1" applyFill="1" applyBorder="1"/>
    <xf numFmtId="0" fontId="2" fillId="16" borderId="9" xfId="0" applyFont="1" applyFill="1" applyBorder="1"/>
    <xf numFmtId="0" fontId="0" fillId="16" borderId="10" xfId="0" applyFill="1" applyBorder="1"/>
    <xf numFmtId="0" fontId="0" fillId="16" borderId="13" xfId="0" applyFill="1" applyBorder="1"/>
    <xf numFmtId="165" fontId="2" fillId="10" borderId="14" xfId="0" applyNumberFormat="1" applyFont="1" applyFill="1" applyBorder="1"/>
    <xf numFmtId="165" fontId="0" fillId="16" borderId="14" xfId="0" applyNumberFormat="1" applyFill="1" applyBorder="1"/>
    <xf numFmtId="0" fontId="0" fillId="16" borderId="13" xfId="0" applyFill="1" applyBorder="1" applyAlignment="1">
      <alignment horizontal="right"/>
    </xf>
    <xf numFmtId="0" fontId="4" fillId="16" borderId="11" xfId="0" applyFont="1" applyFill="1" applyBorder="1" applyAlignment="1">
      <alignment horizontal="right"/>
    </xf>
    <xf numFmtId="165" fontId="4" fillId="16" borderId="12" xfId="0" applyNumberFormat="1" applyFont="1" applyFill="1" applyBorder="1"/>
    <xf numFmtId="0" fontId="2" fillId="5" borderId="9" xfId="0" applyFont="1" applyFill="1" applyBorder="1"/>
    <xf numFmtId="0" fontId="0" fillId="5" borderId="10" xfId="0" applyFill="1" applyBorder="1"/>
    <xf numFmtId="0" fontId="0" fillId="5" borderId="13" xfId="0" applyFill="1" applyBorder="1"/>
    <xf numFmtId="165" fontId="2" fillId="18" borderId="14" xfId="0" applyNumberFormat="1" applyFont="1" applyFill="1" applyBorder="1"/>
    <xf numFmtId="165" fontId="4" fillId="18" borderId="14" xfId="0" applyNumberFormat="1" applyFont="1" applyFill="1" applyBorder="1"/>
    <xf numFmtId="0" fontId="0" fillId="5" borderId="11" xfId="0" applyFill="1" applyBorder="1"/>
    <xf numFmtId="165" fontId="4" fillId="18" borderId="12" xfId="0" applyNumberFormat="1" applyFont="1" applyFill="1" applyBorder="1"/>
    <xf numFmtId="49" fontId="0" fillId="0" borderId="1" xfId="0" applyNumberFormat="1" applyBorder="1"/>
    <xf numFmtId="49" fontId="0" fillId="0" borderId="0" xfId="0" applyNumberFormat="1" applyAlignment="1">
      <alignment horizontal="center" vertical="center"/>
    </xf>
    <xf numFmtId="49" fontId="0" fillId="0" borderId="1" xfId="0" applyNumberFormat="1" applyBorder="1" applyAlignment="1">
      <alignment horizontal="center" vertical="center"/>
    </xf>
    <xf numFmtId="49" fontId="1" fillId="2" borderId="0" xfId="0" applyNumberFormat="1" applyFont="1" applyFill="1" applyAlignment="1">
      <alignment horizontal="center" vertical="center" wrapText="1"/>
    </xf>
    <xf numFmtId="0" fontId="1" fillId="2" borderId="1" xfId="0" applyFont="1" applyFill="1" applyBorder="1" applyAlignment="1">
      <alignment horizontal="center" vertical="center" wrapText="1"/>
    </xf>
    <xf numFmtId="0" fontId="1" fillId="19" borderId="0" xfId="0" applyFont="1" applyFill="1"/>
    <xf numFmtId="164" fontId="1" fillId="19" borderId="0" xfId="0" applyNumberFormat="1" applyFont="1" applyFill="1"/>
    <xf numFmtId="2" fontId="1" fillId="19" borderId="0" xfId="0" applyNumberFormat="1" applyFont="1" applyFill="1"/>
    <xf numFmtId="49" fontId="1" fillId="0" borderId="1" xfId="0" applyNumberFormat="1" applyFont="1" applyBorder="1" applyAlignment="1">
      <alignment horizontal="center" vertical="center" wrapText="1"/>
    </xf>
    <xf numFmtId="0" fontId="1" fillId="0" borderId="0" xfId="0" applyFont="1" applyAlignment="1">
      <alignment horizontal="center" vertical="center" wrapText="1"/>
    </xf>
    <xf numFmtId="0" fontId="0" fillId="0" borderId="17" xfId="0" applyBorder="1"/>
    <xf numFmtId="49" fontId="1" fillId="0" borderId="0" xfId="0" applyNumberFormat="1" applyFont="1" applyAlignment="1">
      <alignment horizontal="center" vertical="center" wrapText="1"/>
    </xf>
    <xf numFmtId="0" fontId="0" fillId="4" borderId="0" xfId="0" applyFill="1"/>
    <xf numFmtId="49" fontId="0" fillId="6" borderId="1" xfId="0" applyNumberFormat="1" applyFill="1" applyBorder="1" applyAlignment="1">
      <alignment horizontal="center" vertical="center"/>
    </xf>
    <xf numFmtId="49" fontId="0" fillId="0" borderId="2" xfId="0" applyNumberFormat="1" applyBorder="1" applyAlignment="1">
      <alignment horizontal="center" vertical="center"/>
    </xf>
    <xf numFmtId="0" fontId="0" fillId="20" borderId="1" xfId="0" applyFill="1" applyBorder="1"/>
    <xf numFmtId="0" fontId="0" fillId="20" borderId="0" xfId="0" applyFill="1"/>
    <xf numFmtId="0" fontId="0" fillId="3" borderId="2" xfId="0" applyFill="1" applyBorder="1"/>
    <xf numFmtId="49" fontId="1" fillId="21" borderId="1" xfId="0" applyNumberFormat="1" applyFont="1" applyFill="1" applyBorder="1" applyAlignment="1">
      <alignment horizontal="center" vertical="center" wrapText="1"/>
    </xf>
    <xf numFmtId="0" fontId="3" fillId="21" borderId="1" xfId="0" applyFont="1" applyFill="1" applyBorder="1"/>
    <xf numFmtId="0" fontId="1" fillId="21" borderId="1" xfId="0" applyFont="1" applyFill="1" applyBorder="1"/>
    <xf numFmtId="49" fontId="1" fillId="21" borderId="1" xfId="0" applyNumberFormat="1" applyFont="1" applyFill="1" applyBorder="1" applyAlignment="1">
      <alignment horizontal="left" vertical="center" wrapText="1"/>
    </xf>
    <xf numFmtId="49" fontId="3" fillId="21" borderId="1" xfId="0" applyNumberFormat="1" applyFont="1" applyFill="1" applyBorder="1" applyAlignment="1">
      <alignment horizontal="left" vertical="center" wrapText="1"/>
    </xf>
    <xf numFmtId="2" fontId="0" fillId="3" borderId="1" xfId="0" applyNumberFormat="1" applyFill="1" applyBorder="1"/>
    <xf numFmtId="0" fontId="0" fillId="3" borderId="3" xfId="0" applyFill="1" applyBorder="1"/>
    <xf numFmtId="49" fontId="3" fillId="12" borderId="1" xfId="0" applyNumberFormat="1" applyFont="1" applyFill="1" applyBorder="1" applyAlignment="1">
      <alignment horizontal="center" vertical="center" wrapText="1"/>
    </xf>
    <xf numFmtId="2" fontId="6" fillId="12" borderId="1" xfId="0" applyNumberFormat="1" applyFont="1" applyFill="1" applyBorder="1"/>
    <xf numFmtId="164" fontId="7" fillId="12" borderId="1" xfId="0" applyNumberFormat="1" applyFont="1" applyFill="1" applyBorder="1"/>
    <xf numFmtId="49" fontId="3" fillId="2" borderId="0" xfId="0" applyNumberFormat="1" applyFont="1" applyFill="1" applyAlignment="1">
      <alignment horizontal="left" vertical="center" wrapText="1"/>
    </xf>
    <xf numFmtId="49" fontId="3" fillId="2" borderId="0" xfId="0" applyNumberFormat="1" applyFont="1" applyFill="1" applyAlignment="1">
      <alignment horizontal="center" vertical="center" wrapText="1"/>
    </xf>
    <xf numFmtId="0" fontId="3" fillId="2" borderId="0" xfId="0" applyFont="1" applyFill="1"/>
    <xf numFmtId="164" fontId="7" fillId="2" borderId="0" xfId="0" applyNumberFormat="1" applyFont="1" applyFill="1"/>
    <xf numFmtId="0" fontId="0" fillId="2" borderId="0" xfId="0" applyFill="1"/>
    <xf numFmtId="0" fontId="0" fillId="2" borderId="1" xfId="0" applyFill="1" applyBorder="1"/>
    <xf numFmtId="49" fontId="1" fillId="12" borderId="1" xfId="0" applyNumberFormat="1" applyFont="1" applyFill="1" applyBorder="1" applyAlignment="1">
      <alignment horizontal="center" vertical="center" wrapText="1"/>
    </xf>
    <xf numFmtId="164" fontId="6" fillId="12" borderId="1" xfId="0" applyNumberFormat="1" applyFont="1" applyFill="1" applyBorder="1"/>
    <xf numFmtId="0" fontId="1" fillId="2" borderId="1" xfId="0" applyFont="1" applyFill="1" applyBorder="1"/>
    <xf numFmtId="0" fontId="2" fillId="2" borderId="1" xfId="0" applyFont="1" applyFill="1" applyBorder="1"/>
    <xf numFmtId="2" fontId="1" fillId="22" borderId="18" xfId="0" applyNumberFormat="1" applyFont="1" applyFill="1" applyBorder="1" applyAlignment="1">
      <alignment horizontal="center" vertical="center" wrapText="1"/>
    </xf>
    <xf numFmtId="0" fontId="3" fillId="22" borderId="1" xfId="0" applyFont="1" applyFill="1" applyBorder="1" applyAlignment="1">
      <alignment horizontal="center" vertical="center"/>
    </xf>
    <xf numFmtId="2" fontId="1" fillId="22" borderId="15" xfId="0" applyNumberFormat="1" applyFont="1" applyFill="1" applyBorder="1" applyAlignment="1">
      <alignment horizontal="center" vertical="center" wrapText="1"/>
    </xf>
    <xf numFmtId="2" fontId="1" fillId="2" borderId="0" xfId="0" applyNumberFormat="1" applyFont="1" applyFill="1" applyAlignment="1">
      <alignment horizontal="center" vertical="center" wrapText="1"/>
    </xf>
    <xf numFmtId="2" fontId="1" fillId="0" borderId="0" xfId="0" applyNumberFormat="1" applyFont="1" applyAlignment="1">
      <alignment horizontal="center" vertical="center" wrapText="1"/>
    </xf>
    <xf numFmtId="0" fontId="0" fillId="3" borderId="17" xfId="0" applyFill="1" applyBorder="1"/>
    <xf numFmtId="0" fontId="0" fillId="3" borderId="8" xfId="0" applyFill="1" applyBorder="1"/>
    <xf numFmtId="0" fontId="0" fillId="3" borderId="21" xfId="0" applyFill="1" applyBorder="1"/>
    <xf numFmtId="0" fontId="0" fillId="3" borderId="22" xfId="0" applyFill="1" applyBorder="1"/>
    <xf numFmtId="0" fontId="0" fillId="3" borderId="19" xfId="0" applyFill="1" applyBorder="1"/>
    <xf numFmtId="2" fontId="0" fillId="0" borderId="0" xfId="0" applyNumberFormat="1" applyAlignment="1">
      <alignment horizontal="center"/>
    </xf>
    <xf numFmtId="2" fontId="0" fillId="12" borderId="0" xfId="0" applyNumberFormat="1" applyFill="1"/>
    <xf numFmtId="0" fontId="8" fillId="2" borderId="0" xfId="0" applyFont="1" applyFill="1"/>
    <xf numFmtId="2" fontId="8" fillId="2" borderId="0" xfId="0" applyNumberFormat="1" applyFont="1" applyFill="1" applyAlignment="1">
      <alignment horizontal="center"/>
    </xf>
    <xf numFmtId="164" fontId="8" fillId="2" borderId="0" xfId="0" applyNumberFormat="1" applyFont="1" applyFill="1"/>
    <xf numFmtId="2" fontId="8" fillId="2" borderId="0" xfId="0" applyNumberFormat="1" applyFont="1" applyFill="1"/>
    <xf numFmtId="0" fontId="0" fillId="23" borderId="0" xfId="0" applyFill="1"/>
    <xf numFmtId="0" fontId="1" fillId="7" borderId="19" xfId="0" applyFont="1" applyFill="1" applyBorder="1"/>
    <xf numFmtId="49" fontId="1" fillId="2" borderId="23" xfId="0" applyNumberFormat="1" applyFont="1" applyFill="1" applyBorder="1" applyAlignment="1">
      <alignment horizontal="center" vertical="center" wrapText="1"/>
    </xf>
    <xf numFmtId="0" fontId="0" fillId="0" borderId="20" xfId="0" applyBorder="1" applyAlignment="1">
      <alignment horizontal="center" vertical="center"/>
    </xf>
    <xf numFmtId="0" fontId="1" fillId="2" borderId="0" xfId="0" applyFont="1" applyFill="1" applyAlignment="1">
      <alignment horizontal="center" vertical="center"/>
    </xf>
    <xf numFmtId="0" fontId="0" fillId="12" borderId="1" xfId="0" applyFill="1" applyBorder="1"/>
    <xf numFmtId="0" fontId="0" fillId="12" borderId="2" xfId="0" applyFill="1" applyBorder="1"/>
    <xf numFmtId="49" fontId="2" fillId="2" borderId="0" xfId="0" applyNumberFormat="1" applyFont="1" applyFill="1" applyAlignment="1">
      <alignment horizontal="center" vertical="center" wrapText="1"/>
    </xf>
    <xf numFmtId="2" fontId="0" fillId="2" borderId="0" xfId="0" applyNumberFormat="1" applyFill="1" applyAlignment="1">
      <alignment horizontal="center"/>
    </xf>
    <xf numFmtId="2" fontId="0" fillId="19" borderId="1" xfId="0" applyNumberFormat="1" applyFill="1" applyBorder="1"/>
    <xf numFmtId="14" fontId="0" fillId="0" borderId="0" xfId="0" applyNumberFormat="1"/>
    <xf numFmtId="164" fontId="0" fillId="3" borderId="1" xfId="0" applyNumberFormat="1" applyFill="1" applyBorder="1"/>
    <xf numFmtId="0" fontId="1" fillId="7" borderId="0" xfId="0" applyFont="1" applyFill="1" applyBorder="1"/>
  </cellXfs>
  <cellStyles count="1">
    <cellStyle name="Normal" xfId="0" builtinId="0"/>
  </cellStyles>
  <dxfs count="0"/>
  <tableStyles count="0" defaultTableStyle="TableStyleMedium2" defaultPivotStyle="PivotStyleLight16"/>
  <colors>
    <mruColors>
      <color rgb="FFEDABAD"/>
      <color rgb="FF68CAE8"/>
      <color rgb="FFF61066"/>
      <color rgb="FF5B341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63500</xdr:colOff>
          <xdr:row>0</xdr:row>
          <xdr:rowOff>0</xdr:rowOff>
        </xdr:from>
        <xdr:to>
          <xdr:col>29</xdr:col>
          <xdr:colOff>12700</xdr:colOff>
          <xdr:row>1</xdr:row>
          <xdr:rowOff>12700</xdr:rowOff>
        </xdr:to>
        <xdr:sp macro="" textlink="">
          <xdr:nvSpPr>
            <xdr:cNvPr id="9250" name="Button 34" hidden="1">
              <a:extLst>
                <a:ext uri="{63B3BB69-23CF-44E3-9099-C40C66FF867C}">
                  <a14:compatExt spid="_x0000_s9250"/>
                </a:ext>
                <a:ext uri="{FF2B5EF4-FFF2-40B4-BE49-F238E27FC236}">
                  <a16:creationId xmlns:a16="http://schemas.microsoft.com/office/drawing/2014/main" id="{00000000-0008-0000-0300-00002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Calibri" pitchFamily="2" charset="0"/>
                  <a:cs typeface="Calibri" pitchFamily="2" charset="0"/>
                </a:rPr>
                <a:t>Recalculer les allèrènes des préparations à partir des recettes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165100</xdr:colOff>
          <xdr:row>0</xdr:row>
          <xdr:rowOff>63500</xdr:rowOff>
        </xdr:from>
        <xdr:to>
          <xdr:col>0</xdr:col>
          <xdr:colOff>1460500</xdr:colOff>
          <xdr:row>0</xdr:row>
          <xdr:rowOff>673100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Calibri" pitchFamily="2" charset="0"/>
                  <a:cs typeface="Calibri" pitchFamily="2" charset="0"/>
                </a:rPr>
                <a:t>Générer les listes de produits fournis par les producteurs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165100</xdr:colOff>
          <xdr:row>0</xdr:row>
          <xdr:rowOff>63500</xdr:rowOff>
        </xdr:from>
        <xdr:to>
          <xdr:col>0</xdr:col>
          <xdr:colOff>1270000</xdr:colOff>
          <xdr:row>0</xdr:row>
          <xdr:rowOff>736600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5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Calibri" pitchFamily="2" charset="0"/>
                  <a:cs typeface="Calibri" pitchFamily="2" charset="0"/>
                </a:rPr>
                <a:t>Générer les listes de produits fournis par les producteurs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50800</xdr:colOff>
          <xdr:row>0</xdr:row>
          <xdr:rowOff>63500</xdr:rowOff>
        </xdr:from>
        <xdr:to>
          <xdr:col>4</xdr:col>
          <xdr:colOff>774700</xdr:colOff>
          <xdr:row>0</xdr:row>
          <xdr:rowOff>419100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Calibri" pitchFamily="2" charset="0"/>
                  <a:cs typeface="Calibri" pitchFamily="2" charset="0"/>
                </a:rPr>
                <a:t>Raffraichir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0</xdr:row>
          <xdr:rowOff>203200</xdr:rowOff>
        </xdr:from>
        <xdr:to>
          <xdr:col>7</xdr:col>
          <xdr:colOff>1574800</xdr:colOff>
          <xdr:row>0</xdr:row>
          <xdr:rowOff>584200</xdr:rowOff>
        </xdr:to>
        <xdr:sp macro="" textlink="">
          <xdr:nvSpPr>
            <xdr:cNvPr id="11265" name="Button 1" descr="Raffraichir"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Arial" pitchFamily="2" charset="0"/>
                  <a:cs typeface="Arial" pitchFamily="2" charset="0"/>
                </a:rPr>
                <a:t>Raffraîchir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0</xdr:row>
          <xdr:rowOff>127000</xdr:rowOff>
        </xdr:from>
        <xdr:to>
          <xdr:col>12</xdr:col>
          <xdr:colOff>63500</xdr:colOff>
          <xdr:row>0</xdr:row>
          <xdr:rowOff>584200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Calibri" pitchFamily="2" charset="0"/>
                  <a:cs typeface="Calibri" pitchFamily="2" charset="0"/>
                </a:rPr>
                <a:t>Trier par cout unitaire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266700</xdr:colOff>
          <xdr:row>0</xdr:row>
          <xdr:rowOff>101600</xdr:rowOff>
        </xdr:from>
        <xdr:to>
          <xdr:col>14</xdr:col>
          <xdr:colOff>139700</xdr:colOff>
          <xdr:row>0</xdr:row>
          <xdr:rowOff>571500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800-00000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Calibri" pitchFamily="2" charset="0"/>
                  <a:cs typeface="Calibri" pitchFamily="2" charset="0"/>
                </a:rPr>
                <a:t>Trier par Type puis par Recette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241300</xdr:rowOff>
        </xdr:from>
        <xdr:to>
          <xdr:col>6</xdr:col>
          <xdr:colOff>736600</xdr:colOff>
          <xdr:row>0</xdr:row>
          <xdr:rowOff>838200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Calibri" pitchFamily="2" charset="0"/>
                  <a:cs typeface="Calibri" pitchFamily="2" charset="0"/>
                </a:rPr>
                <a:t>Trier par type puis par Recette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228600</xdr:colOff>
          <xdr:row>0</xdr:row>
          <xdr:rowOff>228600</xdr:rowOff>
        </xdr:from>
        <xdr:to>
          <xdr:col>9</xdr:col>
          <xdr:colOff>101600</xdr:colOff>
          <xdr:row>0</xdr:row>
          <xdr:rowOff>825500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Calibri" pitchFamily="2" charset="0"/>
                  <a:cs typeface="Calibri" pitchFamily="2" charset="0"/>
                </a:rPr>
                <a:t>Trier par Prix de vente minimum</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0</xdr:row>
          <xdr:rowOff>203200</xdr:rowOff>
        </xdr:from>
        <xdr:to>
          <xdr:col>7</xdr:col>
          <xdr:colOff>1574800</xdr:colOff>
          <xdr:row>0</xdr:row>
          <xdr:rowOff>584200</xdr:rowOff>
        </xdr:to>
        <xdr:sp macro="" textlink="">
          <xdr:nvSpPr>
            <xdr:cNvPr id="16385" name="Button 1" descr="Raffraichir"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Calibri" pitchFamily="2" charset="0"/>
                  <a:cs typeface="Calibri" pitchFamily="2" charset="0"/>
                </a:rPr>
                <a:t>Raffraîchir</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an-paul vallée" id="{EC53489B-2ACF-BF4F-844C-AE4E93574E1A}" userId="74c1755d476a1a0c" providerId="Windows Live"/>
</personList>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3-11-19T21:01:27.40" personId="{EC53489B-2ACF-BF4F-844C-AE4E93574E1A}" id="{A67694CD-0E5E-534D-AA37-8B2797F71E56}">
    <text>Les allergènes pour pouvoir être effacés et recalculés on doit identifier la première ligne correspondant aux préparations, pour cela on regarde le premier produit commençant par « Prépa »</text>
  </threadedComment>
  <threadedComment ref="A91" dT="2023-11-19T21:01:50.84" personId="{EC53489B-2ACF-BF4F-844C-AE4E93574E1A}" id="{1C6BDBC1-DDED-A14F-81F7-8CF1A278B06B}" parentId="{A67694CD-0E5E-534D-AA37-8B2797F71E56}">
    <text>Donc ne pas modifier inutilement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A1" dT="2023-11-20T18:28:12.51" personId="{EC53489B-2ACF-BF4F-844C-AE4E93574E1A}" id="{56046A4D-0B81-8F4E-BB78-692D6C71192C}">
    <text>La cellule ne doit pas être vide, vba(Excel) compte mal le nombre de colonne utilisées si cette cellule est vide, et j’ai besoin du nombre de colonnes pour effacer les listes déjà produites</text>
  </threadedComment>
</ThreadedComments>
</file>

<file path=xl/threadedComments/threadedComment3.xml><?xml version="1.0" encoding="utf-8"?>
<ThreadedComments xmlns="http://schemas.microsoft.com/office/spreadsheetml/2018/threadedcomments" xmlns:x="http://schemas.openxmlformats.org/spreadsheetml/2006/main">
  <threadedComment ref="A1" dT="2023-11-20T18:28:12.51" personId="{EC53489B-2ACF-BF4F-844C-AE4E93574E1A}" id="{91FEB90F-BFB1-AE41-925E-5AE3FC63F670}">
    <text>La cellule ne doit pas être vide, vba(Excel) compte mal le nombre de colonne utilisées si cette cellule est vide, et j’ai besoin du nombre de colonnes pour effacer les listes déjà produites</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3-11-19T23:33:46.66" personId="{EC53489B-2ACF-BF4F-844C-AE4E93574E1A}" id="{B31EF3CA-20EA-964E-BD83-74B34F89BEC3}">
    <text>Les libellés des préparations doivent nécessairement commencer par « Prépa - » </text>
  </threadedComment>
</ThreadedComments>
</file>

<file path=xl/worksheets/_rels/sheet3.xml.rels><?xml version="1.0" encoding="UTF-8" standalone="yes"?>
<Relationships xmlns="http://schemas.openxmlformats.org/package/2006/relationships"><Relationship Id="rId2" Type="http://schemas.openxmlformats.org/officeDocument/2006/relationships/hyperlink" Target="mailto:beta@gmail.com" TargetMode="External"/><Relationship Id="rId1" Type="http://schemas.openxmlformats.org/officeDocument/2006/relationships/hyperlink" Target="mailto:beta@yahoo.fr" TargetMode="Externa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6.xml"/><Relationship Id="rId4" Type="http://schemas.openxmlformats.org/officeDocument/2006/relationships/ctrlProp" Target="../ctrlProps/ctrlProp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8.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4F72E-2B15-4D4A-AA2A-82B7E740D6BB}">
  <sheetPr codeName="Feuil1"/>
  <dimension ref="A1:F110"/>
  <sheetViews>
    <sheetView workbookViewId="0">
      <pane ySplit="1" topLeftCell="A2" activePane="bottomLeft" state="frozen"/>
      <selection activeCell="E53" sqref="E53"/>
      <selection pane="bottomLeft" activeCell="D24" sqref="D24"/>
    </sheetView>
  </sheetViews>
  <sheetFormatPr baseColWidth="10" defaultRowHeight="16" x14ac:dyDescent="0.2"/>
  <cols>
    <col min="1" max="1" width="47.33203125" style="2" bestFit="1" customWidth="1"/>
    <col min="2" max="2" width="24.6640625" style="2" bestFit="1" customWidth="1"/>
    <col min="3" max="3" width="24.5" style="2" customWidth="1"/>
    <col min="4" max="4" width="32.33203125" style="2" customWidth="1"/>
    <col min="5" max="5" width="142.83203125" style="2" bestFit="1" customWidth="1"/>
    <col min="6" max="16384" width="10.83203125" style="2"/>
  </cols>
  <sheetData>
    <row r="1" spans="1:6" s="77" customFormat="1" ht="18" thickBot="1" x14ac:dyDescent="0.25">
      <c r="A1" s="4" t="s">
        <v>61</v>
      </c>
      <c r="B1" s="4" t="s">
        <v>60</v>
      </c>
      <c r="C1" s="4" t="s">
        <v>64</v>
      </c>
      <c r="D1" s="4" t="s">
        <v>130</v>
      </c>
      <c r="E1" s="20" t="s">
        <v>343</v>
      </c>
    </row>
    <row r="2" spans="1:6" x14ac:dyDescent="0.2">
      <c r="A2" s="3" t="s">
        <v>16</v>
      </c>
      <c r="B2" s="3" t="s">
        <v>370</v>
      </c>
      <c r="C2" s="3" t="s">
        <v>62</v>
      </c>
      <c r="D2" s="86" t="s">
        <v>114</v>
      </c>
      <c r="E2" s="113" t="s">
        <v>381</v>
      </c>
    </row>
    <row r="3" spans="1:6" x14ac:dyDescent="0.2">
      <c r="A3" s="3" t="s">
        <v>93</v>
      </c>
      <c r="B3" s="3"/>
      <c r="C3" s="3" t="s">
        <v>63</v>
      </c>
      <c r="D3" s="86" t="s">
        <v>115</v>
      </c>
      <c r="E3" s="114" t="s">
        <v>392</v>
      </c>
    </row>
    <row r="4" spans="1:6" ht="17" thickBot="1" x14ac:dyDescent="0.25">
      <c r="A4" s="3" t="s">
        <v>45</v>
      </c>
      <c r="B4" s="3" t="s">
        <v>368</v>
      </c>
      <c r="C4" s="3" t="s">
        <v>81</v>
      </c>
      <c r="D4" s="86" t="s">
        <v>118</v>
      </c>
      <c r="E4" s="115" t="s">
        <v>8</v>
      </c>
    </row>
    <row r="5" spans="1:6" x14ac:dyDescent="0.2">
      <c r="A5" s="3" t="s">
        <v>23</v>
      </c>
      <c r="B5" s="3" t="s">
        <v>369</v>
      </c>
      <c r="C5" s="3"/>
      <c r="D5" s="86" t="s">
        <v>131</v>
      </c>
      <c r="E5" s="113" t="s">
        <v>382</v>
      </c>
    </row>
    <row r="6" spans="1:6" ht="17" thickBot="1" x14ac:dyDescent="0.25">
      <c r="A6" s="3" t="s">
        <v>47</v>
      </c>
      <c r="B6" s="3"/>
      <c r="C6" s="3"/>
      <c r="D6" s="86" t="s">
        <v>154</v>
      </c>
      <c r="E6" s="115" t="s">
        <v>383</v>
      </c>
    </row>
    <row r="7" spans="1:6" x14ac:dyDescent="0.2">
      <c r="A7" s="3" t="s">
        <v>15</v>
      </c>
      <c r="B7" s="3" t="s">
        <v>365</v>
      </c>
      <c r="C7" s="3"/>
      <c r="D7" s="86" t="s">
        <v>155</v>
      </c>
      <c r="E7" s="113" t="s">
        <v>384</v>
      </c>
    </row>
    <row r="8" spans="1:6" ht="17" thickBot="1" x14ac:dyDescent="0.25">
      <c r="A8" s="3" t="s">
        <v>43</v>
      </c>
      <c r="B8" s="3" t="s">
        <v>366</v>
      </c>
      <c r="C8" s="3"/>
      <c r="D8" s="86" t="s">
        <v>156</v>
      </c>
      <c r="E8" s="115" t="s">
        <v>385</v>
      </c>
    </row>
    <row r="9" spans="1:6" x14ac:dyDescent="0.2">
      <c r="A9" s="3" t="s">
        <v>70</v>
      </c>
      <c r="B9" s="3" t="s">
        <v>367</v>
      </c>
      <c r="C9" s="3"/>
      <c r="D9" s="86" t="s">
        <v>153</v>
      </c>
      <c r="E9" s="113" t="s">
        <v>30</v>
      </c>
    </row>
    <row r="10" spans="1:6" x14ac:dyDescent="0.2">
      <c r="A10" s="3" t="s">
        <v>414</v>
      </c>
      <c r="B10" s="3"/>
      <c r="C10" s="3"/>
      <c r="D10" s="86"/>
      <c r="E10" s="114" t="s">
        <v>386</v>
      </c>
      <c r="F10" s="2" t="s">
        <v>344</v>
      </c>
    </row>
    <row r="11" spans="1:6" ht="17" thickBot="1" x14ac:dyDescent="0.25">
      <c r="A11" s="3" t="s">
        <v>44</v>
      </c>
      <c r="B11" s="3"/>
      <c r="C11" s="3"/>
      <c r="D11" s="86"/>
      <c r="E11" s="115" t="s">
        <v>387</v>
      </c>
    </row>
    <row r="12" spans="1:6" x14ac:dyDescent="0.2">
      <c r="A12" s="3" t="s">
        <v>18</v>
      </c>
      <c r="B12" s="3"/>
      <c r="D12" s="86"/>
      <c r="E12" s="113" t="s">
        <v>388</v>
      </c>
    </row>
    <row r="13" spans="1:6" x14ac:dyDescent="0.2">
      <c r="A13" s="3" t="s">
        <v>407</v>
      </c>
      <c r="B13" s="3"/>
      <c r="D13" s="86"/>
      <c r="E13" s="114" t="s">
        <v>389</v>
      </c>
    </row>
    <row r="14" spans="1:6" ht="17" thickBot="1" x14ac:dyDescent="0.25">
      <c r="A14" s="3" t="s">
        <v>57</v>
      </c>
      <c r="B14" s="3"/>
      <c r="D14" s="86"/>
      <c r="E14" s="115" t="s">
        <v>390</v>
      </c>
      <c r="F14" s="2" t="s">
        <v>317</v>
      </c>
    </row>
    <row r="15" spans="1:6" ht="17" thickBot="1" x14ac:dyDescent="0.25">
      <c r="A15" s="3" t="s">
        <v>119</v>
      </c>
      <c r="B15" s="3"/>
      <c r="D15" s="86"/>
      <c r="E15" s="116" t="s">
        <v>391</v>
      </c>
      <c r="F15" s="2" t="s">
        <v>318</v>
      </c>
    </row>
    <row r="16" spans="1:6" x14ac:dyDescent="0.2">
      <c r="A16" s="3" t="s">
        <v>127</v>
      </c>
      <c r="B16" s="3"/>
      <c r="E16" s="112"/>
      <c r="F16" s="2" t="e" cm="1">
        <f t="array" ref="F16">-Dextrose et autres sirops de glucose à base de blé</f>
        <v>#NAME?</v>
      </c>
    </row>
    <row r="17" spans="1:6" x14ac:dyDescent="0.2">
      <c r="A17" s="3" t="s">
        <v>54</v>
      </c>
      <c r="B17" s="3" t="s">
        <v>377</v>
      </c>
      <c r="E17" s="3"/>
      <c r="F17" s="2" t="e" cm="1">
        <f t="array" ref="F17">-Maltodextrines à base de blé</f>
        <v>#NAME?</v>
      </c>
    </row>
    <row r="18" spans="1:6" x14ac:dyDescent="0.2">
      <c r="A18" s="3" t="s">
        <v>55</v>
      </c>
      <c r="B18" s="3" t="s">
        <v>59</v>
      </c>
      <c r="E18" s="3"/>
      <c r="F18" s="2" t="s">
        <v>319</v>
      </c>
    </row>
    <row r="19" spans="1:6" x14ac:dyDescent="0.2">
      <c r="A19" s="3" t="s">
        <v>69</v>
      </c>
      <c r="B19" s="3"/>
      <c r="F19" s="2" t="s">
        <v>320</v>
      </c>
    </row>
    <row r="20" spans="1:6" x14ac:dyDescent="0.2">
      <c r="A20" s="3" t="s">
        <v>102</v>
      </c>
      <c r="B20" s="3" t="s">
        <v>404</v>
      </c>
    </row>
    <row r="21" spans="1:6" x14ac:dyDescent="0.2">
      <c r="A21" s="3" t="s">
        <v>117</v>
      </c>
      <c r="B21" s="3" t="s">
        <v>90</v>
      </c>
      <c r="F21" s="2" t="s">
        <v>321</v>
      </c>
    </row>
    <row r="22" spans="1:6" x14ac:dyDescent="0.2">
      <c r="A22" s="3" t="s">
        <v>106</v>
      </c>
      <c r="B22" s="3"/>
    </row>
    <row r="23" spans="1:6" x14ac:dyDescent="0.2">
      <c r="A23" s="3" t="s">
        <v>105</v>
      </c>
      <c r="B23" s="3" t="s">
        <v>427</v>
      </c>
      <c r="F23" s="2" t="s">
        <v>322</v>
      </c>
    </row>
    <row r="24" spans="1:6" x14ac:dyDescent="0.2">
      <c r="A24" s="3" t="s">
        <v>17</v>
      </c>
      <c r="B24" s="3"/>
      <c r="F24" s="2" t="s">
        <v>323</v>
      </c>
    </row>
    <row r="25" spans="1:6" x14ac:dyDescent="0.2">
      <c r="A25" s="3" t="s">
        <v>66</v>
      </c>
      <c r="B25" s="3"/>
      <c r="F25" s="2" t="s">
        <v>324</v>
      </c>
    </row>
    <row r="26" spans="1:6" x14ac:dyDescent="0.2">
      <c r="A26" s="3" t="s">
        <v>21</v>
      </c>
      <c r="B26" s="3"/>
    </row>
    <row r="27" spans="1:6" x14ac:dyDescent="0.2">
      <c r="A27" s="3" t="s">
        <v>421</v>
      </c>
      <c r="B27" s="3"/>
    </row>
    <row r="28" spans="1:6" x14ac:dyDescent="0.2">
      <c r="A28" s="3" t="s">
        <v>13</v>
      </c>
      <c r="B28" s="3"/>
      <c r="F28" s="2" t="s">
        <v>325</v>
      </c>
    </row>
    <row r="29" spans="1:6" x14ac:dyDescent="0.2">
      <c r="A29" s="3" t="s">
        <v>12</v>
      </c>
      <c r="B29" s="3"/>
    </row>
    <row r="30" spans="1:6" x14ac:dyDescent="0.2">
      <c r="A30" s="3" t="s">
        <v>52</v>
      </c>
      <c r="B30" s="3"/>
      <c r="F30" s="2" t="s">
        <v>326</v>
      </c>
    </row>
    <row r="31" spans="1:6" x14ac:dyDescent="0.2">
      <c r="A31" s="3" t="s">
        <v>22</v>
      </c>
      <c r="B31" s="3"/>
      <c r="F31" s="2" t="s">
        <v>327</v>
      </c>
    </row>
    <row r="32" spans="1:6" x14ac:dyDescent="0.2">
      <c r="A32" s="3" t="s">
        <v>68</v>
      </c>
      <c r="B32" s="3"/>
    </row>
    <row r="33" spans="1:6" x14ac:dyDescent="0.2">
      <c r="A33" s="3" t="s">
        <v>11</v>
      </c>
      <c r="B33" s="3"/>
    </row>
    <row r="34" spans="1:6" x14ac:dyDescent="0.2">
      <c r="A34" s="3" t="s">
        <v>26</v>
      </c>
      <c r="B34" s="3"/>
      <c r="F34" s="2" t="s">
        <v>328</v>
      </c>
    </row>
    <row r="35" spans="1:6" x14ac:dyDescent="0.2">
      <c r="A35" s="3" t="s">
        <v>27</v>
      </c>
      <c r="B35" s="3"/>
    </row>
    <row r="36" spans="1:6" x14ac:dyDescent="0.2">
      <c r="A36" s="3" t="s">
        <v>103</v>
      </c>
      <c r="B36" s="3"/>
      <c r="F36" s="2" t="s">
        <v>329</v>
      </c>
    </row>
    <row r="37" spans="1:6" x14ac:dyDescent="0.2">
      <c r="A37" s="3" t="s">
        <v>32</v>
      </c>
      <c r="F37" s="2" t="s">
        <v>330</v>
      </c>
    </row>
    <row r="38" spans="1:6" x14ac:dyDescent="0.2">
      <c r="A38" s="3" t="s">
        <v>67</v>
      </c>
      <c r="F38" s="2" t="s">
        <v>331</v>
      </c>
    </row>
    <row r="39" spans="1:6" x14ac:dyDescent="0.2">
      <c r="A39" s="3" t="s">
        <v>41</v>
      </c>
      <c r="F39" s="2" t="s">
        <v>332</v>
      </c>
    </row>
    <row r="40" spans="1:6" x14ac:dyDescent="0.2">
      <c r="A40" s="3" t="s">
        <v>40</v>
      </c>
      <c r="F40" s="2" t="s">
        <v>333</v>
      </c>
    </row>
    <row r="41" spans="1:6" x14ac:dyDescent="0.2">
      <c r="A41" s="3" t="s">
        <v>39</v>
      </c>
      <c r="F41" s="2" t="s">
        <v>334</v>
      </c>
    </row>
    <row r="42" spans="1:6" x14ac:dyDescent="0.2">
      <c r="A42" s="3" t="s">
        <v>8</v>
      </c>
    </row>
    <row r="43" spans="1:6" x14ac:dyDescent="0.2">
      <c r="A43" s="3" t="s">
        <v>418</v>
      </c>
    </row>
    <row r="44" spans="1:6" x14ac:dyDescent="0.2">
      <c r="A44" s="3" t="s">
        <v>20</v>
      </c>
      <c r="F44" s="2" t="s">
        <v>335</v>
      </c>
    </row>
    <row r="45" spans="1:6" x14ac:dyDescent="0.2">
      <c r="A45" s="3" t="s">
        <v>24</v>
      </c>
    </row>
    <row r="46" spans="1:6" x14ac:dyDescent="0.2">
      <c r="A46" s="3" t="s">
        <v>30</v>
      </c>
      <c r="F46" s="2" t="s">
        <v>336</v>
      </c>
    </row>
    <row r="47" spans="1:6" x14ac:dyDescent="0.2">
      <c r="A47" s="3" t="s">
        <v>31</v>
      </c>
    </row>
    <row r="48" spans="1:6" x14ac:dyDescent="0.2">
      <c r="A48" s="3" t="s">
        <v>9</v>
      </c>
      <c r="F48" s="2" t="s">
        <v>337</v>
      </c>
    </row>
    <row r="49" spans="1:6" x14ac:dyDescent="0.2">
      <c r="A49" s="3" t="s">
        <v>33</v>
      </c>
    </row>
    <row r="50" spans="1:6" x14ac:dyDescent="0.2">
      <c r="A50" s="3" t="s">
        <v>111</v>
      </c>
    </row>
    <row r="51" spans="1:6" x14ac:dyDescent="0.2">
      <c r="A51" s="3" t="s">
        <v>112</v>
      </c>
      <c r="F51" s="2" t="s">
        <v>338</v>
      </c>
    </row>
    <row r="52" spans="1:6" x14ac:dyDescent="0.2">
      <c r="A52" s="3" t="s">
        <v>415</v>
      </c>
    </row>
    <row r="53" spans="1:6" x14ac:dyDescent="0.2">
      <c r="A53" s="3" t="s">
        <v>49</v>
      </c>
      <c r="F53" s="2" t="s">
        <v>339</v>
      </c>
    </row>
    <row r="54" spans="1:6" x14ac:dyDescent="0.2">
      <c r="A54" s="3" t="s">
        <v>50</v>
      </c>
    </row>
    <row r="55" spans="1:6" x14ac:dyDescent="0.2">
      <c r="A55" s="3" t="s">
        <v>25</v>
      </c>
      <c r="F55" s="2" t="s">
        <v>340</v>
      </c>
    </row>
    <row r="56" spans="1:6" x14ac:dyDescent="0.2">
      <c r="A56" s="3" t="s">
        <v>51</v>
      </c>
      <c r="F56" s="2" t="s">
        <v>341</v>
      </c>
    </row>
    <row r="57" spans="1:6" x14ac:dyDescent="0.2">
      <c r="A57" s="3" t="s">
        <v>97</v>
      </c>
    </row>
    <row r="58" spans="1:6" x14ac:dyDescent="0.2">
      <c r="A58" s="3" t="s">
        <v>28</v>
      </c>
    </row>
    <row r="59" spans="1:6" x14ac:dyDescent="0.2">
      <c r="A59" s="3" t="s">
        <v>58</v>
      </c>
      <c r="F59" s="2" t="s">
        <v>342</v>
      </c>
    </row>
    <row r="60" spans="1:6" x14ac:dyDescent="0.2">
      <c r="A60" s="3" t="s">
        <v>416</v>
      </c>
    </row>
    <row r="61" spans="1:6" x14ac:dyDescent="0.2">
      <c r="A61" s="3" t="s">
        <v>417</v>
      </c>
    </row>
    <row r="62" spans="1:6" x14ac:dyDescent="0.2">
      <c r="A62" s="3" t="s">
        <v>166</v>
      </c>
    </row>
    <row r="63" spans="1:6" x14ac:dyDescent="0.2">
      <c r="A63" s="3" t="s">
        <v>80</v>
      </c>
    </row>
    <row r="64" spans="1:6" x14ac:dyDescent="0.2">
      <c r="A64" s="3" t="s">
        <v>29</v>
      </c>
    </row>
    <row r="65" spans="1:1" x14ac:dyDescent="0.2">
      <c r="A65" s="3" t="s">
        <v>424</v>
      </c>
    </row>
    <row r="66" spans="1:1" x14ac:dyDescent="0.2">
      <c r="A66" s="3" t="s">
        <v>10</v>
      </c>
    </row>
    <row r="67" spans="1:1" x14ac:dyDescent="0.2">
      <c r="A67" s="3" t="s">
        <v>53</v>
      </c>
    </row>
    <row r="68" spans="1:1" x14ac:dyDescent="0.2">
      <c r="A68" s="3" t="s">
        <v>42</v>
      </c>
    </row>
    <row r="69" spans="1:1" x14ac:dyDescent="0.2">
      <c r="A69" s="3" t="s">
        <v>117</v>
      </c>
    </row>
    <row r="70" spans="1:1" x14ac:dyDescent="0.2">
      <c r="A70" s="3" t="s">
        <v>65</v>
      </c>
    </row>
    <row r="71" spans="1:1" x14ac:dyDescent="0.2">
      <c r="A71" s="3" t="s">
        <v>75</v>
      </c>
    </row>
    <row r="72" spans="1:1" x14ac:dyDescent="0.2">
      <c r="A72" s="3" t="s">
        <v>74</v>
      </c>
    </row>
    <row r="73" spans="1:1" x14ac:dyDescent="0.2">
      <c r="A73" s="3" t="s">
        <v>76</v>
      </c>
    </row>
    <row r="74" spans="1:1" x14ac:dyDescent="0.2">
      <c r="A74" s="3" t="s">
        <v>77</v>
      </c>
    </row>
    <row r="75" spans="1:1" x14ac:dyDescent="0.2">
      <c r="A75" s="3" t="s">
        <v>73</v>
      </c>
    </row>
    <row r="76" spans="1:1" x14ac:dyDescent="0.2">
      <c r="A76" s="3" t="s">
        <v>19</v>
      </c>
    </row>
    <row r="77" spans="1:1" x14ac:dyDescent="0.2">
      <c r="A77" s="3" t="s">
        <v>101</v>
      </c>
    </row>
    <row r="78" spans="1:1" x14ac:dyDescent="0.2">
      <c r="A78" s="3" t="s">
        <v>46</v>
      </c>
    </row>
    <row r="79" spans="1:1" x14ac:dyDescent="0.2">
      <c r="A79" s="3" t="s">
        <v>48</v>
      </c>
    </row>
    <row r="80" spans="1:1" x14ac:dyDescent="0.2">
      <c r="A80" s="3" t="s">
        <v>34</v>
      </c>
    </row>
    <row r="81" spans="1:1" x14ac:dyDescent="0.2">
      <c r="A81" s="3" t="s">
        <v>36</v>
      </c>
    </row>
    <row r="82" spans="1:1" x14ac:dyDescent="0.2">
      <c r="A82" s="3" t="s">
        <v>35</v>
      </c>
    </row>
    <row r="83" spans="1:1" x14ac:dyDescent="0.2">
      <c r="A83" s="3" t="s">
        <v>37</v>
      </c>
    </row>
    <row r="84" spans="1:1" x14ac:dyDescent="0.2">
      <c r="A84" s="3" t="s">
        <v>38</v>
      </c>
    </row>
    <row r="85" spans="1:1" x14ac:dyDescent="0.2">
      <c r="A85" s="3"/>
    </row>
    <row r="86" spans="1:1" x14ac:dyDescent="0.2">
      <c r="A86" s="3"/>
    </row>
    <row r="87" spans="1:1" x14ac:dyDescent="0.2">
      <c r="A87" s="3" t="s">
        <v>425</v>
      </c>
    </row>
    <row r="88" spans="1:1" x14ac:dyDescent="0.2">
      <c r="A88" s="3" t="s">
        <v>426</v>
      </c>
    </row>
    <row r="89" spans="1:1" x14ac:dyDescent="0.2">
      <c r="A89" s="3"/>
    </row>
    <row r="90" spans="1:1" x14ac:dyDescent="0.2">
      <c r="A90" s="3"/>
    </row>
    <row r="91" spans="1:1" x14ac:dyDescent="0.2">
      <c r="A91" s="3"/>
    </row>
    <row r="92" spans="1:1" x14ac:dyDescent="0.2">
      <c r="A92" s="3" t="s">
        <v>402</v>
      </c>
    </row>
    <row r="93" spans="1:1" x14ac:dyDescent="0.2">
      <c r="A93" s="3" t="s">
        <v>355</v>
      </c>
    </row>
    <row r="94" spans="1:1" x14ac:dyDescent="0.2">
      <c r="A94" s="3"/>
    </row>
    <row r="95" spans="1:1" x14ac:dyDescent="0.2">
      <c r="A95" s="3"/>
    </row>
    <row r="96" spans="1:1" x14ac:dyDescent="0.2">
      <c r="A96" s="3"/>
    </row>
    <row r="97" spans="1:1" x14ac:dyDescent="0.2">
      <c r="A97" s="3" t="s">
        <v>96</v>
      </c>
    </row>
    <row r="98" spans="1:1" x14ac:dyDescent="0.2">
      <c r="A98" s="3" t="s">
        <v>98</v>
      </c>
    </row>
    <row r="99" spans="1:1" x14ac:dyDescent="0.2">
      <c r="A99" s="3" t="s">
        <v>100</v>
      </c>
    </row>
    <row r="100" spans="1:1" x14ac:dyDescent="0.2">
      <c r="A100" s="3" t="s">
        <v>104</v>
      </c>
    </row>
    <row r="101" spans="1:1" x14ac:dyDescent="0.2">
      <c r="A101" s="3" t="s">
        <v>109</v>
      </c>
    </row>
    <row r="102" spans="1:1" x14ac:dyDescent="0.2">
      <c r="A102" s="3" t="s">
        <v>110</v>
      </c>
    </row>
    <row r="103" spans="1:1" x14ac:dyDescent="0.2">
      <c r="A103" s="3"/>
    </row>
    <row r="104" spans="1:1" x14ac:dyDescent="0.2">
      <c r="A104" s="3" t="s">
        <v>162</v>
      </c>
    </row>
    <row r="105" spans="1:1" x14ac:dyDescent="0.2">
      <c r="A105" s="3" t="s">
        <v>163</v>
      </c>
    </row>
    <row r="106" spans="1:1" x14ac:dyDescent="0.2">
      <c r="A106" s="3" t="s">
        <v>164</v>
      </c>
    </row>
    <row r="107" spans="1:1" x14ac:dyDescent="0.2">
      <c r="A107" s="3" t="s">
        <v>165</v>
      </c>
    </row>
    <row r="108" spans="1:1" x14ac:dyDescent="0.2">
      <c r="A108" s="3" t="s">
        <v>167</v>
      </c>
    </row>
    <row r="109" spans="1:1" x14ac:dyDescent="0.2">
      <c r="A109" s="3" t="s">
        <v>168</v>
      </c>
    </row>
    <row r="110" spans="1:1" x14ac:dyDescent="0.2">
      <c r="A110" s="3" t="s">
        <v>169</v>
      </c>
    </row>
  </sheetData>
  <sortState xmlns:xlrd2="http://schemas.microsoft.com/office/spreadsheetml/2017/richdata2" ref="B2:B102">
    <sortCondition ref="B2:B102"/>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2E9F1-502C-3D40-B988-7C77A4768F7F}">
  <sheetPr codeName="Feuil11"/>
  <dimension ref="A1:F11"/>
  <sheetViews>
    <sheetView workbookViewId="0"/>
  </sheetViews>
  <sheetFormatPr baseColWidth="10" defaultRowHeight="16" x14ac:dyDescent="0.2"/>
  <cols>
    <col min="1" max="1" width="10.83203125" style="85"/>
  </cols>
  <sheetData>
    <row r="1" spans="1:6" ht="17" x14ac:dyDescent="0.2">
      <c r="A1" s="4" t="s">
        <v>83</v>
      </c>
    </row>
    <row r="2" spans="1:6" x14ac:dyDescent="0.2">
      <c r="A2" s="84" t="s">
        <v>62</v>
      </c>
    </row>
    <row r="3" spans="1:6" x14ac:dyDescent="0.2">
      <c r="A3" s="84" t="s">
        <v>63</v>
      </c>
    </row>
    <row r="4" spans="1:6" x14ac:dyDescent="0.2">
      <c r="A4" s="84" t="s">
        <v>81</v>
      </c>
    </row>
    <row r="5" spans="1:6" x14ac:dyDescent="0.2">
      <c r="A5" s="84"/>
    </row>
    <row r="6" spans="1:6" x14ac:dyDescent="0.2">
      <c r="A6" s="84"/>
    </row>
    <row r="7" spans="1:6" x14ac:dyDescent="0.2">
      <c r="A7" s="84"/>
    </row>
    <row r="8" spans="1:6" x14ac:dyDescent="0.2">
      <c r="A8" s="84"/>
      <c r="F8" t="s">
        <v>300</v>
      </c>
    </row>
    <row r="9" spans="1:6" x14ac:dyDescent="0.2">
      <c r="A9" s="84"/>
      <c r="F9" t="s">
        <v>304</v>
      </c>
    </row>
    <row r="10" spans="1:6" x14ac:dyDescent="0.2">
      <c r="A10" s="84"/>
    </row>
    <row r="11" spans="1:6" x14ac:dyDescent="0.2">
      <c r="A11" s="84"/>
    </row>
  </sheetData>
  <dataValidations count="1">
    <dataValidation type="list" allowBlank="1" showInputMessage="1" showErrorMessage="1" sqref="A2:A1048576" xr:uid="{76C2C512-723F-2C4C-AA06-40E715F6C520}">
      <formula1>TUnités</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77686-9471-0048-81B0-852E715E015D}">
  <sheetPr codeName="Feuil2"/>
  <dimension ref="A1:G77"/>
  <sheetViews>
    <sheetView workbookViewId="0">
      <selection activeCell="F28" sqref="F28"/>
    </sheetView>
  </sheetViews>
  <sheetFormatPr baseColWidth="10" defaultRowHeight="16" x14ac:dyDescent="0.2"/>
  <cols>
    <col min="1" max="1" width="34.5" style="84" customWidth="1"/>
    <col min="2" max="2" width="49.83203125" style="71" bestFit="1" customWidth="1"/>
    <col min="3" max="3" width="19.33203125" style="71" customWidth="1"/>
    <col min="4" max="4" width="27.83203125" style="71" customWidth="1"/>
    <col min="5" max="5" width="24.6640625" style="71" customWidth="1"/>
    <col min="6" max="6" width="29.5" style="71" customWidth="1"/>
    <col min="7" max="7" width="22.1640625" style="83" customWidth="1"/>
  </cols>
  <sheetData>
    <row r="1" spans="1:7" ht="17" x14ac:dyDescent="0.2">
      <c r="A1" s="4" t="s">
        <v>1</v>
      </c>
      <c r="B1" s="4" t="s">
        <v>2</v>
      </c>
      <c r="C1" s="4" t="s">
        <v>3</v>
      </c>
      <c r="D1" s="4" t="s">
        <v>7</v>
      </c>
      <c r="E1" s="4" t="s">
        <v>4</v>
      </c>
      <c r="F1" s="4" t="s">
        <v>5</v>
      </c>
      <c r="G1" s="4" t="s">
        <v>6</v>
      </c>
    </row>
    <row r="2" spans="1:7" x14ac:dyDescent="0.2">
      <c r="A2" s="84" t="s">
        <v>59</v>
      </c>
      <c r="B2" s="71" t="s">
        <v>371</v>
      </c>
      <c r="C2" s="71">
        <v>111111111</v>
      </c>
      <c r="D2" s="71">
        <v>102030405</v>
      </c>
      <c r="F2" s="69" t="s">
        <v>288</v>
      </c>
      <c r="G2" s="69"/>
    </row>
    <row r="3" spans="1:7" x14ac:dyDescent="0.2">
      <c r="A3" s="84" t="s">
        <v>377</v>
      </c>
      <c r="B3" s="71" t="s">
        <v>372</v>
      </c>
      <c r="C3" s="71" t="s">
        <v>289</v>
      </c>
      <c r="D3" s="71" t="s">
        <v>290</v>
      </c>
      <c r="F3" s="2" t="s">
        <v>376</v>
      </c>
      <c r="G3" s="69" t="s">
        <v>291</v>
      </c>
    </row>
    <row r="4" spans="1:7" x14ac:dyDescent="0.2">
      <c r="A4" s="84" t="s">
        <v>365</v>
      </c>
      <c r="B4" s="71" t="s">
        <v>292</v>
      </c>
      <c r="C4" s="71" t="s">
        <v>293</v>
      </c>
      <c r="D4" s="71" t="s">
        <v>294</v>
      </c>
      <c r="E4" s="71" t="s">
        <v>294</v>
      </c>
      <c r="F4" s="69" t="s">
        <v>295</v>
      </c>
      <c r="G4" s="69"/>
    </row>
    <row r="5" spans="1:7" x14ac:dyDescent="0.2">
      <c r="A5" s="84" t="s">
        <v>367</v>
      </c>
      <c r="B5" s="71" t="s">
        <v>296</v>
      </c>
      <c r="C5" s="71" t="s">
        <v>357</v>
      </c>
      <c r="D5" s="71" t="s">
        <v>361</v>
      </c>
      <c r="E5" s="71" t="s">
        <v>373</v>
      </c>
      <c r="F5" s="69"/>
      <c r="G5" s="69"/>
    </row>
    <row r="6" spans="1:7" x14ac:dyDescent="0.2">
      <c r="A6" s="84" t="s">
        <v>369</v>
      </c>
      <c r="B6" s="71" t="s">
        <v>297</v>
      </c>
      <c r="C6" s="71" t="s">
        <v>358</v>
      </c>
      <c r="D6" s="71" t="s">
        <v>362</v>
      </c>
      <c r="E6" s="71" t="s">
        <v>374</v>
      </c>
      <c r="F6" s="69"/>
      <c r="G6" s="69"/>
    </row>
    <row r="7" spans="1:7" x14ac:dyDescent="0.2">
      <c r="A7" s="84" t="s">
        <v>368</v>
      </c>
      <c r="B7" s="71" t="s">
        <v>298</v>
      </c>
      <c r="C7" s="71" t="s">
        <v>359</v>
      </c>
      <c r="D7" s="71" t="s">
        <v>363</v>
      </c>
      <c r="F7" s="69"/>
      <c r="G7" s="69"/>
    </row>
    <row r="8" spans="1:7" x14ac:dyDescent="0.2">
      <c r="A8" s="84" t="s">
        <v>370</v>
      </c>
      <c r="B8" s="71" t="s">
        <v>299</v>
      </c>
      <c r="C8" s="71" t="s">
        <v>360</v>
      </c>
      <c r="D8" s="71" t="s">
        <v>364</v>
      </c>
      <c r="E8" s="71" t="s">
        <v>375</v>
      </c>
      <c r="F8" s="69"/>
      <c r="G8" s="69"/>
    </row>
    <row r="9" spans="1:7" x14ac:dyDescent="0.2">
      <c r="F9" s="69"/>
      <c r="G9" s="69"/>
    </row>
    <row r="10" spans="1:7" x14ac:dyDescent="0.2">
      <c r="F10" s="69"/>
      <c r="G10" s="69"/>
    </row>
    <row r="11" spans="1:7" x14ac:dyDescent="0.2">
      <c r="F11" s="69"/>
      <c r="G11" s="69"/>
    </row>
    <row r="12" spans="1:7" x14ac:dyDescent="0.2">
      <c r="A12" s="84" t="s">
        <v>90</v>
      </c>
      <c r="B12" s="82" t="s">
        <v>301</v>
      </c>
      <c r="C12" s="82" t="s">
        <v>302</v>
      </c>
      <c r="D12" s="82" t="s">
        <v>303</v>
      </c>
      <c r="E12" s="82"/>
      <c r="F12" s="82"/>
      <c r="G12" s="82"/>
    </row>
    <row r="13" spans="1:7" x14ac:dyDescent="0.2">
      <c r="A13" s="84" t="s">
        <v>404</v>
      </c>
      <c r="B13" s="71" t="s">
        <v>428</v>
      </c>
      <c r="D13" s="71" t="s">
        <v>429</v>
      </c>
      <c r="G13" s="71"/>
    </row>
    <row r="14" spans="1:7" x14ac:dyDescent="0.2">
      <c r="A14" s="84" t="s">
        <v>427</v>
      </c>
      <c r="G14" s="71"/>
    </row>
    <row r="15" spans="1:7" x14ac:dyDescent="0.2">
      <c r="A15" s="85"/>
      <c r="B15" s="70"/>
      <c r="C15" s="70"/>
      <c r="D15" s="70"/>
      <c r="E15" s="70"/>
      <c r="F15" s="70"/>
      <c r="G15" s="70"/>
    </row>
    <row r="16" spans="1:7" x14ac:dyDescent="0.2">
      <c r="A16" s="85"/>
      <c r="B16" s="70"/>
      <c r="C16" s="70"/>
      <c r="D16" s="70"/>
      <c r="E16" s="70"/>
      <c r="F16" s="70"/>
      <c r="G16" s="70"/>
    </row>
    <row r="17" spans="1:7" x14ac:dyDescent="0.2">
      <c r="A17" s="85"/>
      <c r="B17" s="70"/>
      <c r="C17" s="70"/>
      <c r="D17" s="70"/>
      <c r="E17" s="70"/>
      <c r="F17" s="70"/>
      <c r="G17" s="70"/>
    </row>
    <row r="18" spans="1:7" x14ac:dyDescent="0.2">
      <c r="A18" s="85"/>
      <c r="B18" s="70"/>
      <c r="C18" s="70"/>
      <c r="D18" s="70"/>
      <c r="E18" s="70"/>
      <c r="F18" s="70"/>
      <c r="G18" s="70"/>
    </row>
    <row r="19" spans="1:7" x14ac:dyDescent="0.2">
      <c r="A19" s="85"/>
      <c r="B19" s="70"/>
      <c r="C19" s="70"/>
      <c r="D19" s="70"/>
      <c r="E19" s="70"/>
      <c r="F19" s="70"/>
      <c r="G19" s="70"/>
    </row>
    <row r="20" spans="1:7" x14ac:dyDescent="0.2">
      <c r="A20" s="85"/>
      <c r="B20" s="70"/>
      <c r="C20" s="70"/>
      <c r="D20" s="70"/>
      <c r="E20" s="70"/>
      <c r="F20" s="70"/>
      <c r="G20" s="70"/>
    </row>
    <row r="21" spans="1:7" x14ac:dyDescent="0.2">
      <c r="A21" s="85"/>
      <c r="B21" s="70"/>
      <c r="C21" s="70"/>
      <c r="D21" s="70"/>
      <c r="E21" s="70"/>
      <c r="F21" s="70"/>
      <c r="G21" s="70"/>
    </row>
    <row r="22" spans="1:7" x14ac:dyDescent="0.2">
      <c r="A22" s="85"/>
      <c r="B22" s="70"/>
      <c r="C22" s="70"/>
      <c r="D22" s="70"/>
      <c r="E22" s="70"/>
      <c r="F22" s="70"/>
      <c r="G22" s="70"/>
    </row>
    <row r="23" spans="1:7" x14ac:dyDescent="0.2">
      <c r="A23" s="85"/>
      <c r="B23" s="70"/>
      <c r="C23" s="70"/>
      <c r="D23" s="70"/>
      <c r="E23" s="70"/>
      <c r="F23" s="70"/>
      <c r="G23" s="70"/>
    </row>
    <row r="24" spans="1:7" x14ac:dyDescent="0.2">
      <c r="A24" s="85"/>
      <c r="B24" s="70"/>
      <c r="C24" s="70"/>
      <c r="D24" s="70"/>
      <c r="E24" s="70"/>
      <c r="F24" s="70"/>
      <c r="G24" s="70"/>
    </row>
    <row r="25" spans="1:7" x14ac:dyDescent="0.2">
      <c r="A25" s="85"/>
      <c r="B25" s="70"/>
      <c r="C25" s="70"/>
      <c r="D25" s="70"/>
      <c r="E25" s="70"/>
      <c r="F25" s="70"/>
      <c r="G25" s="70"/>
    </row>
    <row r="26" spans="1:7" x14ac:dyDescent="0.2">
      <c r="A26" s="85"/>
      <c r="B26" s="70"/>
      <c r="C26" s="70"/>
      <c r="D26" s="70"/>
      <c r="E26" s="70"/>
      <c r="F26" s="70"/>
      <c r="G26" s="70"/>
    </row>
    <row r="27" spans="1:7" x14ac:dyDescent="0.2">
      <c r="A27" s="85"/>
      <c r="B27" s="70"/>
      <c r="C27" s="70"/>
      <c r="D27" s="70"/>
      <c r="E27" s="70"/>
      <c r="F27" s="70"/>
      <c r="G27" s="70"/>
    </row>
    <row r="28" spans="1:7" x14ac:dyDescent="0.2">
      <c r="A28" s="85"/>
      <c r="B28" s="70"/>
      <c r="C28" s="70"/>
      <c r="D28" s="70"/>
      <c r="E28" s="70"/>
      <c r="F28" s="70"/>
      <c r="G28" s="70"/>
    </row>
    <row r="29" spans="1:7" x14ac:dyDescent="0.2">
      <c r="A29" s="85"/>
      <c r="B29" s="70"/>
      <c r="C29" s="70"/>
      <c r="D29" s="70"/>
      <c r="E29" s="70"/>
      <c r="F29" s="70"/>
      <c r="G29" s="70"/>
    </row>
    <row r="30" spans="1:7" x14ac:dyDescent="0.2">
      <c r="A30" s="85"/>
      <c r="B30" s="70"/>
      <c r="C30" s="70"/>
      <c r="D30" s="70"/>
      <c r="E30" s="70"/>
      <c r="F30" s="70"/>
      <c r="G30" s="70"/>
    </row>
    <row r="31" spans="1:7" x14ac:dyDescent="0.2">
      <c r="A31" s="85"/>
      <c r="B31" s="70"/>
      <c r="C31" s="70"/>
      <c r="D31" s="70"/>
      <c r="E31" s="70"/>
      <c r="F31" s="70"/>
      <c r="G31" s="70"/>
    </row>
    <row r="32" spans="1:7" x14ac:dyDescent="0.2">
      <c r="A32" s="85"/>
      <c r="B32" s="70"/>
      <c r="C32" s="70"/>
      <c r="D32" s="70"/>
      <c r="E32" s="70"/>
      <c r="F32" s="70"/>
      <c r="G32" s="70"/>
    </row>
    <row r="33" spans="1:7" x14ac:dyDescent="0.2">
      <c r="A33" s="85"/>
      <c r="B33" s="70"/>
      <c r="C33" s="70"/>
      <c r="D33" s="70"/>
      <c r="E33" s="70"/>
      <c r="F33" s="70"/>
      <c r="G33" s="70"/>
    </row>
    <row r="34" spans="1:7" x14ac:dyDescent="0.2">
      <c r="A34" s="85"/>
      <c r="B34" s="70"/>
      <c r="C34" s="70"/>
      <c r="D34" s="70"/>
      <c r="E34" s="70"/>
      <c r="F34" s="70"/>
      <c r="G34" s="70"/>
    </row>
    <row r="35" spans="1:7" x14ac:dyDescent="0.2">
      <c r="A35" s="85"/>
      <c r="B35" s="70"/>
      <c r="C35" s="70"/>
      <c r="D35" s="70"/>
      <c r="E35" s="70"/>
      <c r="F35" s="70"/>
      <c r="G35" s="70"/>
    </row>
    <row r="36" spans="1:7" x14ac:dyDescent="0.2">
      <c r="A36" s="85"/>
      <c r="B36" s="70"/>
      <c r="C36" s="70"/>
      <c r="D36" s="70"/>
      <c r="E36" s="70"/>
      <c r="F36" s="70"/>
      <c r="G36" s="70"/>
    </row>
    <row r="37" spans="1:7" x14ac:dyDescent="0.2">
      <c r="A37" s="85"/>
      <c r="B37" s="70"/>
      <c r="C37" s="70"/>
      <c r="D37" s="70"/>
      <c r="E37" s="70"/>
      <c r="F37" s="70"/>
      <c r="G37" s="70"/>
    </row>
    <row r="38" spans="1:7" x14ac:dyDescent="0.2">
      <c r="A38" s="85"/>
      <c r="B38" s="70"/>
      <c r="C38" s="70"/>
      <c r="D38" s="70"/>
      <c r="E38" s="70"/>
      <c r="F38" s="70"/>
      <c r="G38" s="70"/>
    </row>
    <row r="39" spans="1:7" x14ac:dyDescent="0.2">
      <c r="A39" s="85"/>
      <c r="B39" s="70"/>
      <c r="C39" s="70"/>
      <c r="D39" s="70"/>
      <c r="E39" s="70"/>
      <c r="F39" s="70"/>
      <c r="G39" s="70"/>
    </row>
    <row r="40" spans="1:7" x14ac:dyDescent="0.2">
      <c r="A40" s="85"/>
      <c r="B40" s="70"/>
      <c r="C40" s="70"/>
      <c r="D40" s="70"/>
      <c r="E40" s="70"/>
      <c r="F40" s="70"/>
      <c r="G40" s="70"/>
    </row>
    <row r="41" spans="1:7" x14ac:dyDescent="0.2">
      <c r="A41" s="85"/>
      <c r="B41" s="70"/>
      <c r="C41" s="70"/>
      <c r="D41" s="70"/>
      <c r="E41" s="70"/>
      <c r="F41" s="70"/>
      <c r="G41" s="70"/>
    </row>
    <row r="42" spans="1:7" x14ac:dyDescent="0.2">
      <c r="A42" s="85"/>
      <c r="B42" s="70"/>
      <c r="C42" s="70"/>
      <c r="D42" s="70"/>
      <c r="E42" s="70"/>
      <c r="F42" s="70"/>
      <c r="G42" s="70"/>
    </row>
    <row r="43" spans="1:7" x14ac:dyDescent="0.2">
      <c r="A43" s="85"/>
      <c r="B43" s="70"/>
      <c r="C43" s="70"/>
      <c r="D43" s="70"/>
      <c r="E43" s="70"/>
      <c r="F43" s="70"/>
      <c r="G43" s="70"/>
    </row>
    <row r="44" spans="1:7" x14ac:dyDescent="0.2">
      <c r="A44" s="85"/>
      <c r="B44" s="70"/>
      <c r="C44" s="70"/>
      <c r="D44" s="70"/>
      <c r="E44" s="70"/>
      <c r="F44" s="70"/>
      <c r="G44" s="70"/>
    </row>
    <row r="45" spans="1:7" x14ac:dyDescent="0.2">
      <c r="A45" s="85"/>
      <c r="B45" s="70"/>
      <c r="C45" s="70"/>
      <c r="D45" s="70"/>
      <c r="E45" s="70"/>
      <c r="F45" s="70"/>
      <c r="G45" s="70"/>
    </row>
    <row r="46" spans="1:7" x14ac:dyDescent="0.2">
      <c r="A46" s="85"/>
      <c r="B46" s="70"/>
      <c r="C46" s="70"/>
      <c r="D46" s="70"/>
      <c r="E46" s="70"/>
      <c r="F46" s="70"/>
      <c r="G46" s="70"/>
    </row>
    <row r="47" spans="1:7" x14ac:dyDescent="0.2">
      <c r="A47" s="85"/>
      <c r="B47" s="70"/>
      <c r="C47" s="70"/>
      <c r="D47" s="70"/>
      <c r="E47" s="70"/>
      <c r="F47" s="70"/>
      <c r="G47" s="70"/>
    </row>
    <row r="48" spans="1:7" x14ac:dyDescent="0.2">
      <c r="A48" s="85"/>
      <c r="B48" s="70"/>
      <c r="C48" s="70"/>
      <c r="D48" s="70"/>
      <c r="E48" s="70"/>
      <c r="F48" s="70"/>
      <c r="G48" s="70"/>
    </row>
    <row r="49" spans="1:7" x14ac:dyDescent="0.2">
      <c r="A49" s="85"/>
      <c r="B49" s="70"/>
      <c r="C49" s="70"/>
      <c r="D49" s="70"/>
      <c r="E49" s="70"/>
      <c r="F49" s="70"/>
      <c r="G49" s="70"/>
    </row>
    <row r="50" spans="1:7" x14ac:dyDescent="0.2">
      <c r="A50" s="85"/>
      <c r="B50" s="70"/>
      <c r="C50" s="70"/>
      <c r="D50" s="70"/>
      <c r="E50" s="70"/>
      <c r="F50" s="70"/>
      <c r="G50" s="70"/>
    </row>
    <row r="51" spans="1:7" x14ac:dyDescent="0.2">
      <c r="A51" s="85"/>
      <c r="B51" s="70"/>
      <c r="C51" s="70"/>
      <c r="D51" s="70"/>
      <c r="E51" s="70"/>
      <c r="F51" s="70"/>
      <c r="G51" s="70"/>
    </row>
    <row r="52" spans="1:7" x14ac:dyDescent="0.2">
      <c r="A52" s="85"/>
      <c r="B52" s="70"/>
      <c r="C52" s="70"/>
      <c r="D52" s="70"/>
      <c r="E52" s="70"/>
      <c r="F52" s="70"/>
      <c r="G52" s="70"/>
    </row>
    <row r="53" spans="1:7" x14ac:dyDescent="0.2">
      <c r="A53" s="85"/>
      <c r="B53" s="70"/>
      <c r="C53" s="70"/>
      <c r="D53" s="70"/>
      <c r="E53" s="70"/>
      <c r="F53" s="70"/>
      <c r="G53" s="70"/>
    </row>
    <row r="54" spans="1:7" x14ac:dyDescent="0.2">
      <c r="A54" s="85"/>
      <c r="B54" s="70"/>
      <c r="C54" s="70"/>
      <c r="D54" s="70"/>
      <c r="E54" s="70"/>
      <c r="F54" s="70"/>
      <c r="G54" s="70"/>
    </row>
    <row r="55" spans="1:7" x14ac:dyDescent="0.2">
      <c r="A55" s="85"/>
      <c r="B55" s="70"/>
      <c r="C55" s="70"/>
      <c r="D55" s="70"/>
      <c r="E55" s="70"/>
      <c r="F55" s="70"/>
      <c r="G55" s="70"/>
    </row>
    <row r="56" spans="1:7" x14ac:dyDescent="0.2">
      <c r="A56" s="85"/>
      <c r="B56" s="70"/>
      <c r="C56" s="70"/>
      <c r="D56" s="70"/>
      <c r="E56" s="70"/>
      <c r="F56" s="70"/>
      <c r="G56" s="70"/>
    </row>
    <row r="57" spans="1:7" x14ac:dyDescent="0.2">
      <c r="A57" s="85"/>
      <c r="B57" s="70"/>
      <c r="C57" s="70"/>
      <c r="D57" s="70"/>
      <c r="E57" s="70"/>
      <c r="F57" s="70"/>
      <c r="G57" s="70"/>
    </row>
    <row r="58" spans="1:7" x14ac:dyDescent="0.2">
      <c r="A58" s="85"/>
      <c r="B58" s="70"/>
      <c r="C58" s="70"/>
      <c r="D58" s="70"/>
      <c r="E58" s="70"/>
      <c r="F58" s="70"/>
      <c r="G58" s="70"/>
    </row>
    <row r="59" spans="1:7" x14ac:dyDescent="0.2">
      <c r="A59" s="85"/>
      <c r="B59" s="70"/>
      <c r="C59" s="70"/>
      <c r="D59" s="70"/>
      <c r="E59" s="70"/>
      <c r="F59" s="70"/>
      <c r="G59" s="70"/>
    </row>
    <row r="60" spans="1:7" x14ac:dyDescent="0.2">
      <c r="A60" s="85"/>
      <c r="B60" s="70"/>
      <c r="C60" s="70"/>
      <c r="D60" s="70"/>
      <c r="E60" s="70"/>
      <c r="F60" s="70"/>
      <c r="G60" s="70"/>
    </row>
    <row r="61" spans="1:7" x14ac:dyDescent="0.2">
      <c r="A61" s="85"/>
      <c r="B61" s="70"/>
      <c r="C61" s="70"/>
      <c r="D61" s="70"/>
      <c r="E61" s="70"/>
      <c r="F61" s="70"/>
      <c r="G61" s="70"/>
    </row>
    <row r="62" spans="1:7" x14ac:dyDescent="0.2">
      <c r="A62" s="85"/>
      <c r="B62" s="70"/>
      <c r="C62" s="70"/>
      <c r="D62" s="70"/>
      <c r="E62" s="70"/>
      <c r="F62" s="70"/>
      <c r="G62" s="70"/>
    </row>
    <row r="63" spans="1:7" x14ac:dyDescent="0.2">
      <c r="A63" s="85"/>
      <c r="B63" s="70"/>
      <c r="C63" s="70"/>
      <c r="D63" s="70"/>
      <c r="E63" s="70"/>
      <c r="F63" s="70"/>
      <c r="G63" s="70"/>
    </row>
    <row r="64" spans="1:7" x14ac:dyDescent="0.2">
      <c r="A64" s="85"/>
      <c r="B64" s="70"/>
      <c r="C64" s="70"/>
      <c r="D64" s="70"/>
      <c r="E64" s="70"/>
      <c r="F64" s="70"/>
      <c r="G64" s="70"/>
    </row>
    <row r="65" spans="1:7" x14ac:dyDescent="0.2">
      <c r="A65" s="85"/>
      <c r="B65" s="70"/>
      <c r="C65" s="70"/>
      <c r="D65" s="70"/>
      <c r="E65" s="70"/>
      <c r="F65" s="70"/>
      <c r="G65" s="70"/>
    </row>
    <row r="66" spans="1:7" x14ac:dyDescent="0.2">
      <c r="A66" s="85"/>
      <c r="B66" s="70"/>
      <c r="C66" s="70"/>
      <c r="D66" s="70"/>
      <c r="E66" s="70"/>
      <c r="F66" s="70"/>
      <c r="G66" s="70"/>
    </row>
    <row r="67" spans="1:7" x14ac:dyDescent="0.2">
      <c r="A67" s="85"/>
      <c r="B67" s="70"/>
      <c r="C67" s="70"/>
      <c r="D67" s="70"/>
      <c r="E67" s="70"/>
      <c r="F67" s="70"/>
      <c r="G67" s="70"/>
    </row>
    <row r="68" spans="1:7" x14ac:dyDescent="0.2">
      <c r="A68" s="85"/>
      <c r="B68" s="70"/>
      <c r="C68" s="70"/>
      <c r="D68" s="70"/>
      <c r="E68" s="70"/>
      <c r="F68" s="70"/>
      <c r="G68" s="70"/>
    </row>
    <row r="69" spans="1:7" x14ac:dyDescent="0.2">
      <c r="A69" s="85"/>
      <c r="B69" s="70"/>
      <c r="C69" s="70"/>
      <c r="D69" s="70"/>
      <c r="E69" s="70"/>
      <c r="F69" s="70"/>
      <c r="G69" s="70"/>
    </row>
    <row r="70" spans="1:7" x14ac:dyDescent="0.2">
      <c r="A70" s="85"/>
      <c r="B70" s="70"/>
      <c r="C70" s="70"/>
      <c r="D70" s="70"/>
      <c r="E70" s="70"/>
      <c r="F70" s="70"/>
      <c r="G70" s="70"/>
    </row>
    <row r="71" spans="1:7" x14ac:dyDescent="0.2">
      <c r="A71" s="85"/>
      <c r="B71" s="70"/>
      <c r="C71" s="70"/>
      <c r="D71" s="70"/>
      <c r="E71" s="70"/>
      <c r="F71" s="70"/>
      <c r="G71" s="70"/>
    </row>
    <row r="72" spans="1:7" x14ac:dyDescent="0.2">
      <c r="A72" s="85"/>
      <c r="B72" s="70"/>
      <c r="C72" s="70"/>
      <c r="D72" s="70"/>
      <c r="E72" s="70"/>
      <c r="F72" s="70"/>
      <c r="G72" s="70"/>
    </row>
    <row r="73" spans="1:7" x14ac:dyDescent="0.2">
      <c r="A73" s="85"/>
      <c r="B73" s="70"/>
      <c r="C73" s="70"/>
      <c r="D73" s="70"/>
      <c r="E73" s="70"/>
      <c r="F73" s="70"/>
      <c r="G73" s="70"/>
    </row>
    <row r="74" spans="1:7" x14ac:dyDescent="0.2">
      <c r="A74" s="85"/>
      <c r="B74" s="70"/>
      <c r="C74" s="70"/>
      <c r="D74" s="70"/>
      <c r="E74" s="70"/>
      <c r="F74" s="70"/>
      <c r="G74" s="70"/>
    </row>
    <row r="75" spans="1:7" x14ac:dyDescent="0.2">
      <c r="A75" s="85"/>
      <c r="B75" s="70"/>
      <c r="C75" s="70"/>
      <c r="D75" s="70"/>
      <c r="E75" s="70"/>
      <c r="F75" s="70"/>
      <c r="G75" s="70"/>
    </row>
    <row r="76" spans="1:7" x14ac:dyDescent="0.2">
      <c r="A76" s="85"/>
      <c r="B76" s="70"/>
      <c r="C76" s="70"/>
      <c r="D76" s="70"/>
      <c r="E76" s="70"/>
      <c r="F76" s="70"/>
      <c r="G76" s="70"/>
    </row>
    <row r="77" spans="1:7" x14ac:dyDescent="0.2">
      <c r="A77" s="85"/>
      <c r="B77" s="70"/>
      <c r="C77" s="70"/>
      <c r="D77" s="70"/>
      <c r="E77" s="70"/>
      <c r="F77" s="70"/>
      <c r="G77" s="70"/>
    </row>
  </sheetData>
  <dataValidations count="1">
    <dataValidation type="list" allowBlank="1" showInputMessage="1" showErrorMessage="1" sqref="A1:A1048576" xr:uid="{FE2A384B-5308-5B4D-BA72-B7AE96E7BEA8}">
      <formula1>TFournisseurs</formula1>
    </dataValidation>
  </dataValidations>
  <hyperlinks>
    <hyperlink ref="G3" r:id="rId1" xr:uid="{49E27BB3-827B-B842-B098-DAC3C8DE29CD}"/>
    <hyperlink ref="F4" r:id="rId2" xr:uid="{FA8B8052-027F-0449-AD3C-89D80A071965}"/>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1CE7-A6EC-F643-BAD0-8F69D45AAEB6}">
  <sheetPr codeName="Feuil3"/>
  <dimension ref="A1:DD115"/>
  <sheetViews>
    <sheetView workbookViewId="0">
      <pane xSplit="3" ySplit="1" topLeftCell="D42" activePane="bottomRight" state="frozen"/>
      <selection activeCell="E53" sqref="E53"/>
      <selection pane="topRight" activeCell="E53" sqref="E53"/>
      <selection pane="bottomLeft" activeCell="E53" sqref="E53"/>
      <selection pane="bottomRight" activeCell="A82" sqref="A82"/>
    </sheetView>
  </sheetViews>
  <sheetFormatPr baseColWidth="10" defaultRowHeight="16" x14ac:dyDescent="0.2"/>
  <cols>
    <col min="1" max="1" width="47.33203125" style="85" bestFit="1" customWidth="1"/>
    <col min="2" max="2" width="20.83203125" customWidth="1"/>
    <col min="3" max="3" width="27.1640625" customWidth="1"/>
    <col min="4" max="4" width="15.5" style="131" customWidth="1"/>
    <col min="5" max="5" width="15.5" style="117" customWidth="1"/>
    <col min="6" max="6" width="15.83203125" style="11" customWidth="1"/>
    <col min="7" max="7" width="17.83203125" style="118" customWidth="1"/>
    <col min="8" max="26" width="5.83203125" customWidth="1"/>
  </cols>
  <sheetData>
    <row r="1" spans="1:26" s="80" customFormat="1" ht="66" customHeight="1" x14ac:dyDescent="0.2">
      <c r="A1" s="72" t="s">
        <v>0</v>
      </c>
      <c r="B1" s="72" t="s">
        <v>1</v>
      </c>
      <c r="C1" s="72" t="s">
        <v>72</v>
      </c>
      <c r="D1" s="130" t="s">
        <v>78</v>
      </c>
      <c r="E1" s="72" t="s">
        <v>79</v>
      </c>
      <c r="F1" s="72" t="s">
        <v>14</v>
      </c>
      <c r="G1" s="72" t="s">
        <v>71</v>
      </c>
      <c r="H1" s="110" t="s">
        <v>307</v>
      </c>
      <c r="I1" s="110" t="s">
        <v>308</v>
      </c>
      <c r="J1" s="110" t="s">
        <v>309</v>
      </c>
      <c r="K1" s="110" t="s">
        <v>310</v>
      </c>
      <c r="L1" s="110" t="s">
        <v>311</v>
      </c>
      <c r="M1" s="110" t="s">
        <v>312</v>
      </c>
      <c r="N1" s="110" t="s">
        <v>313</v>
      </c>
      <c r="O1" s="110" t="s">
        <v>314</v>
      </c>
      <c r="P1" s="110" t="s">
        <v>315</v>
      </c>
      <c r="Q1" s="110" t="s">
        <v>316</v>
      </c>
      <c r="R1" s="110" t="s">
        <v>345</v>
      </c>
      <c r="S1" s="110" t="s">
        <v>346</v>
      </c>
      <c r="T1" s="110" t="s">
        <v>347</v>
      </c>
      <c r="U1" s="110" t="s">
        <v>348</v>
      </c>
      <c r="V1" s="110" t="s">
        <v>349</v>
      </c>
      <c r="W1" s="110" t="s">
        <v>350</v>
      </c>
      <c r="X1" s="110" t="s">
        <v>351</v>
      </c>
      <c r="Y1" s="110" t="s">
        <v>352</v>
      </c>
      <c r="Z1" s="110" t="s">
        <v>353</v>
      </c>
    </row>
    <row r="2" spans="1:26" x14ac:dyDescent="0.2">
      <c r="A2" s="85" t="s">
        <v>76</v>
      </c>
      <c r="B2" t="s">
        <v>59</v>
      </c>
      <c r="C2" t="s">
        <v>81</v>
      </c>
      <c r="E2" s="117">
        <v>1.55</v>
      </c>
      <c r="F2" s="11">
        <v>32</v>
      </c>
      <c r="G2" s="118">
        <f t="shared" ref="G2:G40" si="0">E2/F2</f>
        <v>4.8437500000000001E-2</v>
      </c>
    </row>
    <row r="3" spans="1:26" x14ac:dyDescent="0.2">
      <c r="A3" s="85" t="s">
        <v>75</v>
      </c>
      <c r="B3" t="s">
        <v>59</v>
      </c>
      <c r="C3" t="s">
        <v>81</v>
      </c>
      <c r="E3" s="117">
        <v>2.35</v>
      </c>
      <c r="F3" s="11">
        <v>25</v>
      </c>
      <c r="G3" s="118">
        <f t="shared" si="0"/>
        <v>9.4E-2</v>
      </c>
    </row>
    <row r="4" spans="1:26" x14ac:dyDescent="0.2">
      <c r="A4" s="85" t="s">
        <v>73</v>
      </c>
      <c r="B4" t="s">
        <v>59</v>
      </c>
      <c r="C4" t="s">
        <v>81</v>
      </c>
      <c r="E4" s="117">
        <v>2.75</v>
      </c>
      <c r="F4" s="11">
        <v>20</v>
      </c>
      <c r="G4" s="118">
        <f t="shared" si="0"/>
        <v>0.13750000000000001</v>
      </c>
    </row>
    <row r="5" spans="1:26" x14ac:dyDescent="0.2">
      <c r="A5" s="85" t="s">
        <v>74</v>
      </c>
      <c r="B5" t="s">
        <v>59</v>
      </c>
      <c r="C5" t="s">
        <v>81</v>
      </c>
      <c r="E5" s="117">
        <v>2.75</v>
      </c>
      <c r="F5" s="11">
        <v>20</v>
      </c>
      <c r="G5" s="118">
        <f t="shared" si="0"/>
        <v>0.13750000000000001</v>
      </c>
    </row>
    <row r="6" spans="1:26" x14ac:dyDescent="0.2">
      <c r="A6" s="85" t="s">
        <v>9</v>
      </c>
      <c r="B6" t="s">
        <v>59</v>
      </c>
      <c r="C6" t="s">
        <v>81</v>
      </c>
      <c r="E6" s="117">
        <v>4.29</v>
      </c>
      <c r="F6" s="11">
        <v>12</v>
      </c>
      <c r="G6" s="118">
        <f t="shared" si="0"/>
        <v>0.35749999999999998</v>
      </c>
      <c r="H6" t="s">
        <v>392</v>
      </c>
    </row>
    <row r="7" spans="1:26" x14ac:dyDescent="0.2">
      <c r="A7" s="85" t="s">
        <v>55</v>
      </c>
      <c r="B7" t="s">
        <v>377</v>
      </c>
      <c r="C7" t="s">
        <v>81</v>
      </c>
      <c r="E7" s="117">
        <v>2.09</v>
      </c>
      <c r="F7" s="11">
        <v>3</v>
      </c>
      <c r="G7" s="118">
        <f t="shared" si="0"/>
        <v>0.69666666666666666</v>
      </c>
    </row>
    <row r="8" spans="1:26" x14ac:dyDescent="0.2">
      <c r="A8" s="85" t="s">
        <v>10</v>
      </c>
      <c r="B8" t="s">
        <v>365</v>
      </c>
      <c r="C8" t="s">
        <v>63</v>
      </c>
      <c r="E8" s="117">
        <v>0.55000000000000004</v>
      </c>
      <c r="F8" s="11">
        <v>0.5</v>
      </c>
      <c r="G8" s="118">
        <f t="shared" si="0"/>
        <v>1.1000000000000001</v>
      </c>
    </row>
    <row r="9" spans="1:26" x14ac:dyDescent="0.2">
      <c r="A9" s="85" t="s">
        <v>29</v>
      </c>
      <c r="B9" t="s">
        <v>365</v>
      </c>
      <c r="C9" t="s">
        <v>81</v>
      </c>
      <c r="E9" s="117">
        <v>4.45</v>
      </c>
      <c r="F9" s="11">
        <v>4</v>
      </c>
      <c r="G9" s="118">
        <f t="shared" si="0"/>
        <v>1.1125</v>
      </c>
      <c r="H9" t="s">
        <v>383</v>
      </c>
      <c r="I9" t="s">
        <v>383</v>
      </c>
    </row>
    <row r="10" spans="1:26" x14ac:dyDescent="0.2">
      <c r="A10" s="85" t="s">
        <v>43</v>
      </c>
      <c r="B10" t="s">
        <v>59</v>
      </c>
      <c r="C10" t="s">
        <v>62</v>
      </c>
      <c r="E10" s="117">
        <v>1.75</v>
      </c>
      <c r="F10" s="11">
        <v>1.5</v>
      </c>
      <c r="G10" s="118">
        <f t="shared" si="0"/>
        <v>1.1666666666666667</v>
      </c>
    </row>
    <row r="11" spans="1:26" x14ac:dyDescent="0.2">
      <c r="A11" s="85" t="s">
        <v>13</v>
      </c>
      <c r="B11" t="s">
        <v>367</v>
      </c>
      <c r="C11" t="s">
        <v>63</v>
      </c>
      <c r="E11" s="117">
        <v>1.29</v>
      </c>
      <c r="F11" s="11">
        <v>1</v>
      </c>
      <c r="G11" s="118">
        <f t="shared" si="0"/>
        <v>1.29</v>
      </c>
      <c r="H11" t="s">
        <v>381</v>
      </c>
    </row>
    <row r="12" spans="1:26" x14ac:dyDescent="0.2">
      <c r="A12" s="85" t="s">
        <v>111</v>
      </c>
      <c r="B12" t="s">
        <v>59</v>
      </c>
      <c r="C12" t="s">
        <v>63</v>
      </c>
      <c r="E12" s="117">
        <v>1.29</v>
      </c>
      <c r="F12" s="11">
        <v>0.25</v>
      </c>
      <c r="G12" s="118">
        <f t="shared" si="0"/>
        <v>5.16</v>
      </c>
      <c r="H12" t="s">
        <v>381</v>
      </c>
    </row>
    <row r="13" spans="1:26" x14ac:dyDescent="0.2">
      <c r="A13" s="85" t="s">
        <v>33</v>
      </c>
      <c r="B13" t="s">
        <v>59</v>
      </c>
      <c r="C13" t="s">
        <v>63</v>
      </c>
      <c r="E13" s="117">
        <v>2.69</v>
      </c>
      <c r="F13" s="11">
        <v>2</v>
      </c>
      <c r="G13" s="118">
        <f t="shared" si="0"/>
        <v>1.345</v>
      </c>
    </row>
    <row r="14" spans="1:26" x14ac:dyDescent="0.2">
      <c r="A14" s="85" t="s">
        <v>8</v>
      </c>
      <c r="B14" t="s">
        <v>59</v>
      </c>
      <c r="C14" t="s">
        <v>62</v>
      </c>
      <c r="E14" s="117">
        <v>1.46</v>
      </c>
      <c r="F14" s="11">
        <v>1</v>
      </c>
      <c r="G14" s="118">
        <f t="shared" si="0"/>
        <v>1.46</v>
      </c>
      <c r="H14" t="s">
        <v>8</v>
      </c>
    </row>
    <row r="15" spans="1:26" x14ac:dyDescent="0.2">
      <c r="A15" s="85" t="s">
        <v>416</v>
      </c>
      <c r="B15" t="s">
        <v>59</v>
      </c>
      <c r="C15" t="s">
        <v>63</v>
      </c>
      <c r="E15" s="117">
        <v>5</v>
      </c>
      <c r="F15" s="11">
        <v>1</v>
      </c>
      <c r="G15" s="118">
        <f t="shared" si="0"/>
        <v>5</v>
      </c>
    </row>
    <row r="16" spans="1:26" x14ac:dyDescent="0.2">
      <c r="A16" s="85" t="s">
        <v>418</v>
      </c>
      <c r="B16" t="s">
        <v>59</v>
      </c>
      <c r="C16" t="s">
        <v>63</v>
      </c>
      <c r="E16" s="117">
        <v>5</v>
      </c>
      <c r="F16" s="11">
        <v>1</v>
      </c>
      <c r="G16" s="118">
        <f t="shared" si="0"/>
        <v>5</v>
      </c>
    </row>
    <row r="17" spans="1:8" x14ac:dyDescent="0.2">
      <c r="A17" s="85" t="s">
        <v>417</v>
      </c>
      <c r="B17" t="s">
        <v>59</v>
      </c>
      <c r="C17" t="s">
        <v>63</v>
      </c>
      <c r="E17" s="117">
        <v>10</v>
      </c>
      <c r="F17" s="11">
        <v>2.5</v>
      </c>
      <c r="G17" s="118">
        <f t="shared" si="0"/>
        <v>4</v>
      </c>
    </row>
    <row r="18" spans="1:8" x14ac:dyDescent="0.2">
      <c r="A18" s="85" t="s">
        <v>65</v>
      </c>
      <c r="B18" t="s">
        <v>59</v>
      </c>
      <c r="C18" t="s">
        <v>63</v>
      </c>
      <c r="E18" s="117">
        <v>1.85</v>
      </c>
      <c r="F18" s="11">
        <v>1</v>
      </c>
      <c r="G18" s="118">
        <f t="shared" si="0"/>
        <v>1.85</v>
      </c>
    </row>
    <row r="19" spans="1:8" x14ac:dyDescent="0.2">
      <c r="A19" s="85" t="s">
        <v>415</v>
      </c>
      <c r="B19" t="s">
        <v>59</v>
      </c>
      <c r="C19" t="s">
        <v>63</v>
      </c>
      <c r="E19" s="117">
        <v>5</v>
      </c>
      <c r="F19" s="11">
        <v>1</v>
      </c>
      <c r="G19" s="118">
        <f t="shared" si="0"/>
        <v>5</v>
      </c>
    </row>
    <row r="20" spans="1:8" x14ac:dyDescent="0.2">
      <c r="A20" s="85" t="s">
        <v>414</v>
      </c>
      <c r="B20" t="s">
        <v>59</v>
      </c>
      <c r="C20" t="s">
        <v>81</v>
      </c>
      <c r="E20" s="117">
        <v>2</v>
      </c>
      <c r="F20" s="11">
        <v>1</v>
      </c>
      <c r="G20" s="118">
        <f t="shared" ref="G20" si="1">E20/F20</f>
        <v>2</v>
      </c>
    </row>
    <row r="21" spans="1:8" x14ac:dyDescent="0.2">
      <c r="A21" s="85" t="s">
        <v>119</v>
      </c>
      <c r="B21" t="s">
        <v>377</v>
      </c>
      <c r="C21" t="s">
        <v>62</v>
      </c>
      <c r="E21" s="117">
        <v>1.89</v>
      </c>
      <c r="F21" s="11">
        <v>0.75</v>
      </c>
      <c r="G21" s="118">
        <f t="shared" si="0"/>
        <v>2.52</v>
      </c>
    </row>
    <row r="22" spans="1:8" x14ac:dyDescent="0.2">
      <c r="A22" s="85" t="s">
        <v>407</v>
      </c>
      <c r="B22" t="s">
        <v>59</v>
      </c>
      <c r="C22" t="s">
        <v>63</v>
      </c>
      <c r="E22" s="117">
        <v>10</v>
      </c>
      <c r="F22" s="11">
        <v>3</v>
      </c>
      <c r="G22" s="118">
        <f t="shared" si="0"/>
        <v>3.3333333333333335</v>
      </c>
      <c r="H22" t="s">
        <v>391</v>
      </c>
    </row>
    <row r="23" spans="1:8" x14ac:dyDescent="0.2">
      <c r="A23" s="85" t="s">
        <v>127</v>
      </c>
      <c r="B23" t="s">
        <v>377</v>
      </c>
      <c r="C23" t="s">
        <v>62</v>
      </c>
      <c r="E23" s="117">
        <v>1.89</v>
      </c>
      <c r="F23" s="11">
        <v>0.75</v>
      </c>
      <c r="G23" s="118">
        <f t="shared" si="0"/>
        <v>2.52</v>
      </c>
    </row>
    <row r="24" spans="1:8" x14ac:dyDescent="0.2">
      <c r="A24" s="85" t="s">
        <v>39</v>
      </c>
      <c r="B24" t="s">
        <v>377</v>
      </c>
      <c r="C24" t="s">
        <v>62</v>
      </c>
      <c r="E24" s="117">
        <v>2.59</v>
      </c>
      <c r="F24" s="11">
        <v>1</v>
      </c>
      <c r="G24" s="118">
        <f t="shared" si="0"/>
        <v>2.59</v>
      </c>
    </row>
    <row r="25" spans="1:8" x14ac:dyDescent="0.2">
      <c r="A25" s="85" t="s">
        <v>36</v>
      </c>
      <c r="B25" t="s">
        <v>370</v>
      </c>
      <c r="C25" t="s">
        <v>62</v>
      </c>
      <c r="E25" s="117">
        <v>2</v>
      </c>
      <c r="F25" s="11">
        <v>0.75</v>
      </c>
      <c r="G25" s="118">
        <f t="shared" si="0"/>
        <v>2.6666666666666665</v>
      </c>
    </row>
    <row r="26" spans="1:8" x14ac:dyDescent="0.2">
      <c r="A26" s="85" t="s">
        <v>37</v>
      </c>
      <c r="B26" t="s">
        <v>370</v>
      </c>
      <c r="C26" t="s">
        <v>62</v>
      </c>
      <c r="E26" s="117">
        <v>2</v>
      </c>
      <c r="F26" s="11">
        <v>0.75</v>
      </c>
      <c r="G26" s="118">
        <f t="shared" si="0"/>
        <v>2.6666666666666665</v>
      </c>
    </row>
    <row r="27" spans="1:8" x14ac:dyDescent="0.2">
      <c r="A27" s="85" t="s">
        <v>38</v>
      </c>
      <c r="B27" t="s">
        <v>370</v>
      </c>
      <c r="C27" t="s">
        <v>62</v>
      </c>
      <c r="E27" s="117">
        <v>2</v>
      </c>
      <c r="F27" s="11">
        <v>0.75</v>
      </c>
      <c r="G27" s="118">
        <f t="shared" si="0"/>
        <v>2.6666666666666665</v>
      </c>
    </row>
    <row r="28" spans="1:8" x14ac:dyDescent="0.2">
      <c r="A28" s="85" t="s">
        <v>58</v>
      </c>
      <c r="B28" t="s">
        <v>377</v>
      </c>
      <c r="C28" t="s">
        <v>63</v>
      </c>
      <c r="E28" s="117">
        <v>1.07</v>
      </c>
      <c r="F28" s="11">
        <v>0.4</v>
      </c>
      <c r="G28" s="118">
        <f t="shared" si="0"/>
        <v>2.6749999999999998</v>
      </c>
    </row>
    <row r="29" spans="1:8" x14ac:dyDescent="0.2">
      <c r="A29" s="85" t="s">
        <v>421</v>
      </c>
      <c r="B29" t="s">
        <v>59</v>
      </c>
      <c r="C29" t="s">
        <v>63</v>
      </c>
      <c r="E29" s="117">
        <v>7</v>
      </c>
      <c r="F29" s="11">
        <v>2.5</v>
      </c>
      <c r="G29" s="118">
        <f t="shared" si="0"/>
        <v>2.8</v>
      </c>
    </row>
    <row r="30" spans="1:8" x14ac:dyDescent="0.2">
      <c r="A30" s="85" t="s">
        <v>12</v>
      </c>
      <c r="B30" t="s">
        <v>367</v>
      </c>
      <c r="C30" t="s">
        <v>63</v>
      </c>
      <c r="D30" s="131">
        <v>4.75</v>
      </c>
      <c r="E30" s="117">
        <v>2.95</v>
      </c>
      <c r="F30" s="11">
        <v>1</v>
      </c>
      <c r="G30" s="118">
        <f t="shared" si="0"/>
        <v>2.95</v>
      </c>
    </row>
    <row r="31" spans="1:8" x14ac:dyDescent="0.2">
      <c r="A31" s="85" t="s">
        <v>101</v>
      </c>
      <c r="B31" t="s">
        <v>59</v>
      </c>
      <c r="C31" t="s">
        <v>63</v>
      </c>
      <c r="E31" s="117">
        <v>3.28</v>
      </c>
      <c r="F31" s="11">
        <v>1</v>
      </c>
      <c r="G31" s="118">
        <f t="shared" si="0"/>
        <v>3.28</v>
      </c>
    </row>
    <row r="32" spans="1:8" x14ac:dyDescent="0.2">
      <c r="A32" s="85" t="s">
        <v>102</v>
      </c>
      <c r="B32" t="s">
        <v>59</v>
      </c>
      <c r="C32" t="s">
        <v>63</v>
      </c>
      <c r="E32" s="117">
        <v>1.55</v>
      </c>
      <c r="F32" s="11">
        <v>0.44</v>
      </c>
      <c r="G32" s="118">
        <f t="shared" si="0"/>
        <v>3.5227272727272729</v>
      </c>
    </row>
    <row r="33" spans="1:9" x14ac:dyDescent="0.2">
      <c r="A33" s="85" t="s">
        <v>40</v>
      </c>
      <c r="B33" t="s">
        <v>377</v>
      </c>
      <c r="C33" t="s">
        <v>62</v>
      </c>
      <c r="E33" s="117">
        <v>3.55</v>
      </c>
      <c r="F33" s="11">
        <v>1</v>
      </c>
      <c r="G33" s="118">
        <f t="shared" si="0"/>
        <v>3.55</v>
      </c>
    </row>
    <row r="34" spans="1:9" x14ac:dyDescent="0.2">
      <c r="A34" s="85" t="s">
        <v>35</v>
      </c>
      <c r="B34" t="s">
        <v>370</v>
      </c>
      <c r="C34" t="s">
        <v>62</v>
      </c>
      <c r="E34" s="117">
        <v>2.79</v>
      </c>
      <c r="F34" s="11">
        <v>0.75</v>
      </c>
      <c r="G34" s="118">
        <f t="shared" si="0"/>
        <v>3.72</v>
      </c>
    </row>
    <row r="35" spans="1:9" x14ac:dyDescent="0.2">
      <c r="A35" s="85" t="s">
        <v>54</v>
      </c>
      <c r="B35" t="s">
        <v>377</v>
      </c>
      <c r="C35" t="s">
        <v>81</v>
      </c>
      <c r="E35" s="117">
        <v>0.9</v>
      </c>
      <c r="F35" s="11">
        <v>1</v>
      </c>
      <c r="G35" s="118">
        <f t="shared" si="0"/>
        <v>0.9</v>
      </c>
    </row>
    <row r="36" spans="1:9" x14ac:dyDescent="0.2">
      <c r="A36" s="85" t="s">
        <v>106</v>
      </c>
      <c r="B36" t="s">
        <v>368</v>
      </c>
      <c r="C36" t="s">
        <v>62</v>
      </c>
      <c r="E36" s="117">
        <v>4.49</v>
      </c>
      <c r="F36" s="11">
        <v>1</v>
      </c>
      <c r="G36" s="118">
        <f t="shared" si="0"/>
        <v>4.49</v>
      </c>
      <c r="H36" t="s">
        <v>8</v>
      </c>
    </row>
    <row r="37" spans="1:9" x14ac:dyDescent="0.2">
      <c r="A37" s="85" t="s">
        <v>97</v>
      </c>
      <c r="B37" t="s">
        <v>59</v>
      </c>
      <c r="C37" t="s">
        <v>63</v>
      </c>
      <c r="E37" s="117">
        <v>3.49</v>
      </c>
      <c r="F37" s="11">
        <v>0.75</v>
      </c>
      <c r="G37" s="118">
        <f t="shared" si="0"/>
        <v>4.6533333333333333</v>
      </c>
    </row>
    <row r="38" spans="1:9" x14ac:dyDescent="0.2">
      <c r="A38" s="85" t="s">
        <v>41</v>
      </c>
      <c r="B38" t="s">
        <v>377</v>
      </c>
      <c r="C38" t="s">
        <v>62</v>
      </c>
      <c r="E38" s="117">
        <v>3.55</v>
      </c>
      <c r="F38" s="11">
        <v>0.7</v>
      </c>
      <c r="G38" s="118">
        <f t="shared" si="0"/>
        <v>5.0714285714285712</v>
      </c>
    </row>
    <row r="39" spans="1:9" x14ac:dyDescent="0.2">
      <c r="A39" s="85" t="s">
        <v>42</v>
      </c>
      <c r="B39" t="s">
        <v>377</v>
      </c>
      <c r="C39" t="s">
        <v>62</v>
      </c>
      <c r="E39" s="117">
        <v>3.55</v>
      </c>
      <c r="F39" s="11">
        <v>0.7</v>
      </c>
      <c r="G39" s="118">
        <f t="shared" si="0"/>
        <v>5.0714285714285712</v>
      </c>
    </row>
    <row r="40" spans="1:9" x14ac:dyDescent="0.2">
      <c r="A40" s="85" t="s">
        <v>30</v>
      </c>
      <c r="B40" t="s">
        <v>59</v>
      </c>
      <c r="C40" t="s">
        <v>63</v>
      </c>
      <c r="E40" s="117">
        <v>2.25</v>
      </c>
      <c r="F40" s="11">
        <v>0.43</v>
      </c>
      <c r="G40" s="118">
        <f t="shared" si="0"/>
        <v>5.2325581395348841</v>
      </c>
      <c r="H40" t="s">
        <v>30</v>
      </c>
    </row>
    <row r="41" spans="1:9" x14ac:dyDescent="0.2">
      <c r="A41" s="85" t="s">
        <v>77</v>
      </c>
      <c r="B41" t="s">
        <v>59</v>
      </c>
      <c r="C41" t="s">
        <v>81</v>
      </c>
      <c r="E41" s="117">
        <v>1.85</v>
      </c>
      <c r="F41" s="11">
        <v>20</v>
      </c>
      <c r="G41" s="118">
        <f t="shared" ref="G41:G73" si="2">E41/F41</f>
        <v>9.2499999999999999E-2</v>
      </c>
    </row>
    <row r="42" spans="1:9" x14ac:dyDescent="0.2">
      <c r="A42" s="85" t="s">
        <v>105</v>
      </c>
      <c r="B42" t="s">
        <v>59</v>
      </c>
      <c r="C42" t="s">
        <v>62</v>
      </c>
      <c r="E42" s="117">
        <v>1.99</v>
      </c>
      <c r="F42" s="11">
        <v>0.5</v>
      </c>
      <c r="G42" s="118">
        <f t="shared" si="2"/>
        <v>3.98</v>
      </c>
      <c r="H42" t="s">
        <v>8</v>
      </c>
    </row>
    <row r="43" spans="1:9" x14ac:dyDescent="0.2">
      <c r="A43" s="85" t="s">
        <v>11</v>
      </c>
      <c r="B43" t="s">
        <v>365</v>
      </c>
      <c r="C43" t="s">
        <v>63</v>
      </c>
      <c r="E43" s="117">
        <v>1.75</v>
      </c>
      <c r="F43" s="11">
        <v>0.25</v>
      </c>
      <c r="G43" s="118">
        <f t="shared" si="2"/>
        <v>7</v>
      </c>
    </row>
    <row r="44" spans="1:9" x14ac:dyDescent="0.2">
      <c r="A44" s="85" t="s">
        <v>44</v>
      </c>
      <c r="B44" t="s">
        <v>59</v>
      </c>
      <c r="C44" t="s">
        <v>63</v>
      </c>
      <c r="E44" s="117">
        <v>2.5499999999999998</v>
      </c>
      <c r="F44" s="11">
        <v>0.32</v>
      </c>
      <c r="G44" s="118">
        <f t="shared" si="2"/>
        <v>7.9687499999999991</v>
      </c>
      <c r="H44" t="s">
        <v>8</v>
      </c>
      <c r="I44" t="s">
        <v>382</v>
      </c>
    </row>
    <row r="45" spans="1:9" x14ac:dyDescent="0.2">
      <c r="A45" s="85" t="s">
        <v>22</v>
      </c>
      <c r="B45" t="s">
        <v>368</v>
      </c>
      <c r="C45" t="s">
        <v>63</v>
      </c>
      <c r="E45" s="117">
        <v>4</v>
      </c>
      <c r="F45" s="11">
        <v>0.5</v>
      </c>
      <c r="G45" s="118">
        <f t="shared" si="2"/>
        <v>8</v>
      </c>
    </row>
    <row r="46" spans="1:9" x14ac:dyDescent="0.2">
      <c r="A46" s="85" t="s">
        <v>51</v>
      </c>
      <c r="B46" t="s">
        <v>59</v>
      </c>
      <c r="C46" t="s">
        <v>63</v>
      </c>
      <c r="E46" s="117">
        <v>3.69</v>
      </c>
      <c r="F46" s="11">
        <v>1</v>
      </c>
      <c r="G46" s="118">
        <f t="shared" si="2"/>
        <v>3.69</v>
      </c>
    </row>
    <row r="47" spans="1:9" x14ac:dyDescent="0.2">
      <c r="A47" s="85" t="s">
        <v>16</v>
      </c>
      <c r="B47" t="s">
        <v>368</v>
      </c>
      <c r="C47" t="s">
        <v>63</v>
      </c>
      <c r="E47" s="117">
        <v>4.09</v>
      </c>
      <c r="F47" s="11">
        <v>0.5</v>
      </c>
      <c r="G47" s="118">
        <f t="shared" si="2"/>
        <v>8.18</v>
      </c>
    </row>
    <row r="48" spans="1:9" x14ac:dyDescent="0.2">
      <c r="A48" s="85" t="s">
        <v>31</v>
      </c>
      <c r="B48" t="s">
        <v>59</v>
      </c>
      <c r="C48" t="s">
        <v>63</v>
      </c>
      <c r="E48" s="117">
        <v>1.65</v>
      </c>
      <c r="F48" s="11">
        <v>0.2</v>
      </c>
      <c r="G48" s="118">
        <f t="shared" si="2"/>
        <v>8.2499999999999982</v>
      </c>
      <c r="H48" t="s">
        <v>30</v>
      </c>
      <c r="I48" t="s">
        <v>392</v>
      </c>
    </row>
    <row r="49" spans="1:9" x14ac:dyDescent="0.2">
      <c r="A49" s="85" t="s">
        <v>66</v>
      </c>
      <c r="B49" t="s">
        <v>368</v>
      </c>
      <c r="C49" t="s">
        <v>63</v>
      </c>
      <c r="E49" s="117">
        <v>4.45</v>
      </c>
      <c r="F49" s="11">
        <v>0.5</v>
      </c>
      <c r="G49" s="118">
        <f t="shared" si="2"/>
        <v>8.9</v>
      </c>
      <c r="H49" t="s">
        <v>8</v>
      </c>
    </row>
    <row r="50" spans="1:9" x14ac:dyDescent="0.2">
      <c r="A50" s="85" t="s">
        <v>49</v>
      </c>
      <c r="B50" t="s">
        <v>59</v>
      </c>
      <c r="C50" t="s">
        <v>63</v>
      </c>
      <c r="E50" s="117">
        <v>46.17</v>
      </c>
      <c r="F50" s="11">
        <v>5</v>
      </c>
      <c r="G50" s="118">
        <f t="shared" si="2"/>
        <v>9.234</v>
      </c>
      <c r="H50" t="s">
        <v>8</v>
      </c>
      <c r="I50" t="s">
        <v>383</v>
      </c>
    </row>
    <row r="51" spans="1:9" x14ac:dyDescent="0.2">
      <c r="A51" s="85" t="s">
        <v>424</v>
      </c>
      <c r="B51" t="s">
        <v>59</v>
      </c>
      <c r="C51" t="s">
        <v>63</v>
      </c>
      <c r="E51" s="117">
        <v>12.48</v>
      </c>
      <c r="F51" s="11">
        <v>1</v>
      </c>
      <c r="G51" s="118">
        <f t="shared" si="2"/>
        <v>12.48</v>
      </c>
      <c r="H51" t="s">
        <v>8</v>
      </c>
      <c r="I51" t="s">
        <v>391</v>
      </c>
    </row>
    <row r="52" spans="1:9" x14ac:dyDescent="0.2">
      <c r="A52" s="85" t="s">
        <v>80</v>
      </c>
      <c r="B52" t="s">
        <v>365</v>
      </c>
      <c r="C52" t="s">
        <v>63</v>
      </c>
      <c r="E52" s="117">
        <v>2.39</v>
      </c>
      <c r="F52" s="11">
        <v>0.25</v>
      </c>
      <c r="G52" s="118">
        <f t="shared" si="2"/>
        <v>9.56</v>
      </c>
    </row>
    <row r="53" spans="1:9" x14ac:dyDescent="0.2">
      <c r="A53" s="85" t="s">
        <v>15</v>
      </c>
      <c r="B53" t="s">
        <v>368</v>
      </c>
      <c r="C53" t="s">
        <v>63</v>
      </c>
      <c r="E53" s="117">
        <v>4.79</v>
      </c>
      <c r="F53" s="11">
        <v>0.5</v>
      </c>
      <c r="G53" s="118">
        <f t="shared" si="2"/>
        <v>9.58</v>
      </c>
      <c r="H53" t="s">
        <v>8</v>
      </c>
    </row>
    <row r="54" spans="1:9" x14ac:dyDescent="0.2">
      <c r="A54" s="85" t="s">
        <v>117</v>
      </c>
      <c r="B54" t="s">
        <v>377</v>
      </c>
      <c r="C54" t="s">
        <v>62</v>
      </c>
      <c r="E54" s="117">
        <v>7.35</v>
      </c>
      <c r="F54" s="11">
        <v>0.7</v>
      </c>
      <c r="G54" s="118">
        <f t="shared" si="2"/>
        <v>10.5</v>
      </c>
    </row>
    <row r="55" spans="1:9" x14ac:dyDescent="0.2">
      <c r="A55" s="85" t="s">
        <v>24</v>
      </c>
      <c r="B55" t="s">
        <v>370</v>
      </c>
      <c r="C55" t="s">
        <v>63</v>
      </c>
      <c r="E55" s="117">
        <v>11.69</v>
      </c>
      <c r="F55" s="11">
        <v>1</v>
      </c>
      <c r="G55" s="118">
        <f t="shared" si="2"/>
        <v>11.69</v>
      </c>
    </row>
    <row r="56" spans="1:9" x14ac:dyDescent="0.2">
      <c r="A56" s="85" t="s">
        <v>52</v>
      </c>
      <c r="B56" t="s">
        <v>368</v>
      </c>
      <c r="C56" t="s">
        <v>63</v>
      </c>
      <c r="E56" s="117">
        <v>3</v>
      </c>
      <c r="F56" s="11">
        <v>0.25</v>
      </c>
      <c r="G56" s="118">
        <f t="shared" si="2"/>
        <v>12</v>
      </c>
    </row>
    <row r="57" spans="1:9" x14ac:dyDescent="0.2">
      <c r="A57" s="85" t="s">
        <v>34</v>
      </c>
      <c r="B57" t="s">
        <v>370</v>
      </c>
      <c r="C57" t="s">
        <v>62</v>
      </c>
      <c r="E57" s="117">
        <v>9.35</v>
      </c>
      <c r="F57" s="11">
        <v>0.75</v>
      </c>
      <c r="G57" s="118">
        <f t="shared" si="2"/>
        <v>12.466666666666667</v>
      </c>
    </row>
    <row r="58" spans="1:9" x14ac:dyDescent="0.2">
      <c r="A58" s="85" t="s">
        <v>57</v>
      </c>
      <c r="B58" t="s">
        <v>370</v>
      </c>
      <c r="C58" t="s">
        <v>62</v>
      </c>
      <c r="E58" s="117">
        <v>9.5500000000000007</v>
      </c>
      <c r="F58" s="11">
        <v>0.75</v>
      </c>
      <c r="G58" s="118">
        <f t="shared" si="2"/>
        <v>12.733333333333334</v>
      </c>
    </row>
    <row r="59" spans="1:9" x14ac:dyDescent="0.2">
      <c r="A59" s="85" t="s">
        <v>70</v>
      </c>
      <c r="B59" t="s">
        <v>59</v>
      </c>
      <c r="C59" t="s">
        <v>63</v>
      </c>
      <c r="E59" s="117">
        <v>11.75</v>
      </c>
      <c r="F59" s="11">
        <v>0.75</v>
      </c>
      <c r="G59" s="118">
        <f t="shared" si="2"/>
        <v>15.666666666666666</v>
      </c>
    </row>
    <row r="60" spans="1:9" x14ac:dyDescent="0.2">
      <c r="A60" s="85" t="s">
        <v>93</v>
      </c>
      <c r="B60" t="s">
        <v>370</v>
      </c>
      <c r="C60" t="s">
        <v>63</v>
      </c>
      <c r="E60" s="117">
        <v>3.93</v>
      </c>
      <c r="F60" s="11">
        <v>0.24</v>
      </c>
      <c r="G60" s="118">
        <f t="shared" si="2"/>
        <v>16.375</v>
      </c>
    </row>
    <row r="61" spans="1:9" x14ac:dyDescent="0.2">
      <c r="A61" s="85" t="s">
        <v>67</v>
      </c>
      <c r="B61" t="s">
        <v>365</v>
      </c>
      <c r="C61" t="s">
        <v>63</v>
      </c>
      <c r="E61" s="117">
        <v>1.51</v>
      </c>
      <c r="F61" s="11">
        <v>0.08</v>
      </c>
      <c r="G61" s="118">
        <f t="shared" si="2"/>
        <v>18.875</v>
      </c>
      <c r="H61" t="s">
        <v>391</v>
      </c>
    </row>
    <row r="62" spans="1:9" x14ac:dyDescent="0.2">
      <c r="A62" s="85" t="s">
        <v>19</v>
      </c>
      <c r="B62" t="s">
        <v>368</v>
      </c>
      <c r="C62" t="s">
        <v>63</v>
      </c>
      <c r="E62" s="117">
        <v>0.99</v>
      </c>
      <c r="F62" s="11">
        <v>0.05</v>
      </c>
      <c r="G62" s="118">
        <f t="shared" si="2"/>
        <v>19.799999999999997</v>
      </c>
    </row>
    <row r="63" spans="1:9" x14ac:dyDescent="0.2">
      <c r="A63" s="85" t="s">
        <v>20</v>
      </c>
      <c r="B63" t="s">
        <v>368</v>
      </c>
      <c r="C63" t="s">
        <v>63</v>
      </c>
      <c r="E63" s="117">
        <v>0.99</v>
      </c>
      <c r="F63" s="11">
        <v>0.05</v>
      </c>
      <c r="G63" s="118">
        <f t="shared" si="2"/>
        <v>19.799999999999997</v>
      </c>
    </row>
    <row r="64" spans="1:9" x14ac:dyDescent="0.2">
      <c r="A64" s="85" t="s">
        <v>166</v>
      </c>
      <c r="B64" t="s">
        <v>59</v>
      </c>
      <c r="C64" t="s">
        <v>62</v>
      </c>
      <c r="E64" s="117">
        <v>15.55</v>
      </c>
      <c r="F64" s="11">
        <v>0.7</v>
      </c>
      <c r="G64" s="118">
        <f t="shared" si="2"/>
        <v>22.214285714285715</v>
      </c>
    </row>
    <row r="65" spans="1:9" x14ac:dyDescent="0.2">
      <c r="A65" s="85" t="s">
        <v>53</v>
      </c>
      <c r="B65" t="s">
        <v>59</v>
      </c>
      <c r="C65" t="s">
        <v>62</v>
      </c>
      <c r="E65" s="117">
        <v>5.69</v>
      </c>
      <c r="F65" s="11">
        <v>0.25</v>
      </c>
      <c r="G65" s="118">
        <f t="shared" si="2"/>
        <v>22.76</v>
      </c>
    </row>
    <row r="66" spans="1:9" x14ac:dyDescent="0.2">
      <c r="A66" s="85" t="s">
        <v>23</v>
      </c>
      <c r="B66" t="s">
        <v>59</v>
      </c>
      <c r="C66" t="s">
        <v>63</v>
      </c>
      <c r="E66" s="117">
        <v>2.9</v>
      </c>
      <c r="F66" s="11">
        <v>0.125</v>
      </c>
      <c r="G66" s="118">
        <f t="shared" si="2"/>
        <v>23.2</v>
      </c>
      <c r="H66" t="s">
        <v>383</v>
      </c>
    </row>
    <row r="67" spans="1:9" x14ac:dyDescent="0.2">
      <c r="A67" s="85" t="s">
        <v>50</v>
      </c>
      <c r="B67" t="s">
        <v>59</v>
      </c>
      <c r="C67" t="s">
        <v>63</v>
      </c>
      <c r="E67" s="117">
        <v>23.32</v>
      </c>
      <c r="F67" s="11">
        <v>1</v>
      </c>
      <c r="G67" s="118">
        <f t="shared" si="2"/>
        <v>23.32</v>
      </c>
      <c r="H67" t="s">
        <v>8</v>
      </c>
      <c r="I67" t="s">
        <v>382</v>
      </c>
    </row>
    <row r="68" spans="1:9" x14ac:dyDescent="0.2">
      <c r="A68" s="85" t="s">
        <v>45</v>
      </c>
      <c r="B68" t="s">
        <v>59</v>
      </c>
      <c r="C68" t="s">
        <v>63</v>
      </c>
      <c r="E68" s="117">
        <v>5.15</v>
      </c>
      <c r="F68" s="11">
        <v>0.17499999999999999</v>
      </c>
      <c r="G68" s="118">
        <f t="shared" si="2"/>
        <v>29.428571428571434</v>
      </c>
      <c r="H68" t="s">
        <v>383</v>
      </c>
    </row>
    <row r="69" spans="1:9" x14ac:dyDescent="0.2">
      <c r="A69" s="85" t="s">
        <v>68</v>
      </c>
      <c r="B69" t="s">
        <v>59</v>
      </c>
      <c r="C69" t="s">
        <v>62</v>
      </c>
      <c r="E69" s="117">
        <v>23.39</v>
      </c>
      <c r="F69" s="11">
        <v>0.7</v>
      </c>
      <c r="G69" s="118">
        <f t="shared" si="2"/>
        <v>33.414285714285718</v>
      </c>
    </row>
    <row r="70" spans="1:9" x14ac:dyDescent="0.2">
      <c r="A70" s="85" t="s">
        <v>69</v>
      </c>
      <c r="B70" t="s">
        <v>377</v>
      </c>
      <c r="C70" t="s">
        <v>62</v>
      </c>
      <c r="E70" s="117">
        <v>20.95</v>
      </c>
      <c r="F70" s="11">
        <v>0.5</v>
      </c>
      <c r="G70" s="118">
        <f t="shared" si="2"/>
        <v>41.9</v>
      </c>
    </row>
    <row r="71" spans="1:9" x14ac:dyDescent="0.2">
      <c r="A71" s="85" t="s">
        <v>27</v>
      </c>
      <c r="B71" t="s">
        <v>369</v>
      </c>
      <c r="C71" t="s">
        <v>63</v>
      </c>
      <c r="E71" s="117">
        <v>14.55</v>
      </c>
      <c r="F71" s="11">
        <v>0.3</v>
      </c>
      <c r="G71" s="118">
        <f t="shared" si="2"/>
        <v>48.500000000000007</v>
      </c>
      <c r="H71" t="s">
        <v>389</v>
      </c>
    </row>
    <row r="72" spans="1:9" x14ac:dyDescent="0.2">
      <c r="A72" s="85" t="s">
        <v>18</v>
      </c>
      <c r="B72" t="s">
        <v>368</v>
      </c>
      <c r="C72" t="s">
        <v>63</v>
      </c>
      <c r="E72" s="117">
        <v>5</v>
      </c>
      <c r="F72" s="11">
        <v>0.1</v>
      </c>
      <c r="G72" s="118">
        <f t="shared" si="2"/>
        <v>50</v>
      </c>
    </row>
    <row r="73" spans="1:9" x14ac:dyDescent="0.2">
      <c r="A73" s="85" t="s">
        <v>46</v>
      </c>
      <c r="B73" t="s">
        <v>59</v>
      </c>
      <c r="C73" t="s">
        <v>81</v>
      </c>
      <c r="E73" s="117">
        <v>5.2</v>
      </c>
      <c r="F73" s="11">
        <v>0.1</v>
      </c>
      <c r="G73" s="118">
        <f t="shared" si="2"/>
        <v>52</v>
      </c>
    </row>
    <row r="74" spans="1:9" x14ac:dyDescent="0.2">
      <c r="A74" s="85" t="s">
        <v>17</v>
      </c>
      <c r="B74" t="s">
        <v>59</v>
      </c>
      <c r="C74" t="s">
        <v>63</v>
      </c>
      <c r="E74" s="117">
        <v>2.4900000000000002</v>
      </c>
      <c r="F74" s="11">
        <v>4.4999999999999998E-2</v>
      </c>
      <c r="G74" s="118">
        <f t="shared" ref="G74:G79" si="3">E74/F74</f>
        <v>55.333333333333343</v>
      </c>
    </row>
    <row r="75" spans="1:9" x14ac:dyDescent="0.2">
      <c r="A75" s="85" t="s">
        <v>25</v>
      </c>
      <c r="B75" t="s">
        <v>368</v>
      </c>
      <c r="C75" t="s">
        <v>63</v>
      </c>
      <c r="E75" s="117">
        <v>2.65</v>
      </c>
      <c r="F75" s="11">
        <v>0.04</v>
      </c>
      <c r="G75" s="118">
        <f t="shared" si="3"/>
        <v>66.25</v>
      </c>
    </row>
    <row r="76" spans="1:9" x14ac:dyDescent="0.2">
      <c r="A76" s="85" t="s">
        <v>21</v>
      </c>
      <c r="B76" t="s">
        <v>59</v>
      </c>
      <c r="C76" t="s">
        <v>63</v>
      </c>
      <c r="E76" s="117">
        <v>2.65</v>
      </c>
      <c r="F76" s="11">
        <v>0.04</v>
      </c>
      <c r="G76" s="118">
        <f t="shared" si="3"/>
        <v>66.25</v>
      </c>
      <c r="H76" t="s">
        <v>386</v>
      </c>
    </row>
    <row r="77" spans="1:9" x14ac:dyDescent="0.2">
      <c r="A77" s="85" t="s">
        <v>26</v>
      </c>
      <c r="B77" t="s">
        <v>369</v>
      </c>
      <c r="C77" t="s">
        <v>63</v>
      </c>
      <c r="E77" s="117">
        <v>16</v>
      </c>
      <c r="F77" s="11">
        <v>0.2</v>
      </c>
      <c r="G77" s="118">
        <f t="shared" si="3"/>
        <v>80</v>
      </c>
      <c r="H77" t="s">
        <v>389</v>
      </c>
    </row>
    <row r="78" spans="1:9" x14ac:dyDescent="0.2">
      <c r="A78" s="85" t="s">
        <v>47</v>
      </c>
      <c r="B78" t="s">
        <v>59</v>
      </c>
      <c r="C78" t="s">
        <v>62</v>
      </c>
      <c r="E78" s="117">
        <v>4.6500000000000004</v>
      </c>
      <c r="F78" s="11">
        <v>0.05</v>
      </c>
      <c r="G78" s="118">
        <f t="shared" si="3"/>
        <v>93</v>
      </c>
    </row>
    <row r="79" spans="1:9" x14ac:dyDescent="0.2">
      <c r="A79" s="85" t="s">
        <v>28</v>
      </c>
      <c r="B79" t="s">
        <v>59</v>
      </c>
      <c r="C79" t="s">
        <v>63</v>
      </c>
      <c r="E79" s="117">
        <v>3.89</v>
      </c>
      <c r="F79" s="11">
        <v>3.4000000000000002E-2</v>
      </c>
      <c r="G79" s="118">
        <f t="shared" si="3"/>
        <v>114.41176470588235</v>
      </c>
    </row>
    <row r="80" spans="1:9" x14ac:dyDescent="0.2">
      <c r="A80" s="85" t="s">
        <v>48</v>
      </c>
      <c r="B80" t="s">
        <v>59</v>
      </c>
      <c r="C80" t="s">
        <v>63</v>
      </c>
      <c r="E80" s="117">
        <v>6.55</v>
      </c>
      <c r="F80" s="11">
        <v>0.05</v>
      </c>
      <c r="G80" s="118">
        <f>E80/F80</f>
        <v>131</v>
      </c>
    </row>
    <row r="82" spans="1:108" x14ac:dyDescent="0.2">
      <c r="A82" s="85" t="s">
        <v>425</v>
      </c>
    </row>
    <row r="83" spans="1:108" x14ac:dyDescent="0.2">
      <c r="A83" s="85" t="s">
        <v>426</v>
      </c>
    </row>
    <row r="90" spans="1:108" x14ac:dyDescent="0.2">
      <c r="A90" s="119"/>
      <c r="B90" s="119"/>
      <c r="C90" s="119"/>
      <c r="E90" s="120"/>
      <c r="F90" s="121"/>
      <c r="G90" s="122"/>
      <c r="H90" s="119"/>
      <c r="I90" s="119"/>
      <c r="J90" s="119"/>
      <c r="K90" s="119"/>
      <c r="L90" s="119"/>
      <c r="M90" s="119"/>
      <c r="N90" s="119"/>
      <c r="O90" s="119"/>
      <c r="P90" s="119"/>
      <c r="Q90" s="119"/>
      <c r="R90" s="119"/>
      <c r="S90" s="119"/>
      <c r="T90" s="119"/>
      <c r="U90" s="119"/>
      <c r="V90" s="119"/>
      <c r="W90" s="119"/>
      <c r="X90" s="119"/>
      <c r="Y90" s="119"/>
      <c r="Z90" s="119"/>
    </row>
    <row r="91" spans="1:108" s="123" customFormat="1" x14ac:dyDescent="0.2">
      <c r="A91" s="85" t="s">
        <v>402</v>
      </c>
      <c r="B91" t="s">
        <v>404</v>
      </c>
      <c r="C91" t="s">
        <v>81</v>
      </c>
      <c r="D91" s="131"/>
      <c r="E91" s="117"/>
      <c r="F91" s="11"/>
      <c r="G91" s="118">
        <f>Recettes!D9</f>
        <v>0.1215</v>
      </c>
      <c r="H91" t="s">
        <v>381</v>
      </c>
      <c r="I91" t="s">
        <v>392</v>
      </c>
      <c r="J91" t="s">
        <v>8</v>
      </c>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row>
    <row r="92" spans="1:108" s="123" customFormat="1" x14ac:dyDescent="0.2">
      <c r="A92" s="85" t="s">
        <v>355</v>
      </c>
      <c r="B92" t="s">
        <v>90</v>
      </c>
      <c r="C92" t="s">
        <v>81</v>
      </c>
      <c r="D92" s="131"/>
      <c r="E92" s="117"/>
      <c r="F92" s="11"/>
      <c r="G92" s="118">
        <f>Recettes!D20</f>
        <v>0.35655416666666662</v>
      </c>
      <c r="H92" t="s">
        <v>381</v>
      </c>
      <c r="I92" t="s">
        <v>392</v>
      </c>
      <c r="J92" t="s">
        <v>8</v>
      </c>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row>
    <row r="93" spans="1:108" s="123" customFormat="1" x14ac:dyDescent="0.2">
      <c r="A93" s="85" t="s">
        <v>96</v>
      </c>
      <c r="B93" t="s">
        <v>90</v>
      </c>
      <c r="C93" t="s">
        <v>81</v>
      </c>
      <c r="D93" s="131"/>
      <c r="E93" s="117"/>
      <c r="F93" s="11"/>
      <c r="G93" s="118">
        <f>Recettes!D173</f>
        <v>0.36110588235294117</v>
      </c>
      <c r="H93" t="s">
        <v>8</v>
      </c>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row>
    <row r="94" spans="1:108" s="123" customFormat="1" x14ac:dyDescent="0.2">
      <c r="A94" s="85" t="s">
        <v>98</v>
      </c>
      <c r="B94" t="s">
        <v>90</v>
      </c>
      <c r="C94" t="s">
        <v>81</v>
      </c>
      <c r="D94" s="131"/>
      <c r="E94" s="117"/>
      <c r="F94" s="11"/>
      <c r="G94" s="118">
        <f>Recettes!D151</f>
        <v>0.39150392156862746</v>
      </c>
      <c r="H94" t="s">
        <v>8</v>
      </c>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row>
    <row r="95" spans="1:108" s="123" customFormat="1" x14ac:dyDescent="0.2">
      <c r="A95" s="85" t="s">
        <v>100</v>
      </c>
      <c r="B95" t="s">
        <v>90</v>
      </c>
      <c r="C95" t="s">
        <v>81</v>
      </c>
      <c r="D95" s="131"/>
      <c r="E95" s="117"/>
      <c r="F95" s="11"/>
      <c r="G95" s="118">
        <f>Recettes!D198</f>
        <v>0.25747201426024963</v>
      </c>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row>
    <row r="96" spans="1:108" s="123" customFormat="1" x14ac:dyDescent="0.2">
      <c r="A96" s="85" t="s">
        <v>104</v>
      </c>
      <c r="B96" t="s">
        <v>90</v>
      </c>
      <c r="C96" t="s">
        <v>81</v>
      </c>
      <c r="D96" s="131"/>
      <c r="E96" s="117"/>
      <c r="F96" s="11"/>
      <c r="G96" s="118">
        <f>Recettes!D206</f>
        <v>0.25118992248062016</v>
      </c>
      <c r="H96" t="s">
        <v>30</v>
      </c>
      <c r="I96" t="s">
        <v>8</v>
      </c>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row>
    <row r="97" spans="1:108" s="123" customFormat="1" x14ac:dyDescent="0.2">
      <c r="A97" s="85" t="s">
        <v>109</v>
      </c>
      <c r="B97" t="s">
        <v>90</v>
      </c>
      <c r="C97" t="s">
        <v>81</v>
      </c>
      <c r="D97" s="131"/>
      <c r="E97" s="117"/>
      <c r="F97" s="11"/>
      <c r="G97" s="118">
        <f>Recettes!D240</f>
        <v>0.52223552941176477</v>
      </c>
      <c r="H97" t="s">
        <v>8</v>
      </c>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row>
    <row r="98" spans="1:108" s="123" customFormat="1" x14ac:dyDescent="0.2">
      <c r="A98" s="85" t="s">
        <v>110</v>
      </c>
      <c r="B98" t="s">
        <v>90</v>
      </c>
      <c r="C98" t="s">
        <v>81</v>
      </c>
      <c r="D98" s="131"/>
      <c r="E98" s="117"/>
      <c r="F98" s="11"/>
      <c r="G98" s="118">
        <f>Recettes!D249</f>
        <v>9.1840000000000005E-2</v>
      </c>
      <c r="H98" t="s">
        <v>381</v>
      </c>
      <c r="I98" t="s">
        <v>8</v>
      </c>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row>
    <row r="99" spans="1:108" s="123" customFormat="1" x14ac:dyDescent="0.2">
      <c r="A99" s="85" t="s">
        <v>162</v>
      </c>
      <c r="B99" t="s">
        <v>90</v>
      </c>
      <c r="C99" t="s">
        <v>81</v>
      </c>
      <c r="D99" s="131"/>
      <c r="E99" s="117"/>
      <c r="F99" s="11"/>
      <c r="G99" s="118">
        <f>Recettes!D352</f>
        <v>6.2586666666666665E-2</v>
      </c>
      <c r="H99" t="s">
        <v>8</v>
      </c>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row>
    <row r="100" spans="1:108" s="123" customFormat="1" x14ac:dyDescent="0.2">
      <c r="A100" s="85" t="s">
        <v>163</v>
      </c>
      <c r="B100" t="s">
        <v>90</v>
      </c>
      <c r="C100" t="s">
        <v>81</v>
      </c>
      <c r="D100" s="131"/>
      <c r="E100" s="117"/>
      <c r="F100" s="11"/>
      <c r="G100" s="118">
        <f>Recettes!D369</f>
        <v>0.19993333333333332</v>
      </c>
      <c r="H100" t="s">
        <v>8</v>
      </c>
      <c r="I100" t="s">
        <v>382</v>
      </c>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row>
    <row r="101" spans="1:108" s="123" customFormat="1" x14ac:dyDescent="0.2">
      <c r="A101" s="85" t="s">
        <v>164</v>
      </c>
      <c r="B101" t="s">
        <v>90</v>
      </c>
      <c r="C101" t="s">
        <v>81</v>
      </c>
      <c r="D101" s="131"/>
      <c r="E101" s="117"/>
      <c r="F101" s="11"/>
      <c r="G101" s="118">
        <f>Recettes!D388</f>
        <v>0.1835</v>
      </c>
      <c r="H101" t="s">
        <v>8</v>
      </c>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row>
    <row r="102" spans="1:108" s="123" customFormat="1" x14ac:dyDescent="0.2">
      <c r="A102" s="85" t="s">
        <v>165</v>
      </c>
      <c r="B102" t="s">
        <v>90</v>
      </c>
      <c r="C102" t="s">
        <v>81</v>
      </c>
      <c r="D102" s="131"/>
      <c r="E102" s="117"/>
      <c r="F102" s="11"/>
      <c r="G102" s="118">
        <f>Recettes!D411</f>
        <v>0.38508190476190479</v>
      </c>
      <c r="H102" t="s">
        <v>8</v>
      </c>
      <c r="I102" t="s">
        <v>381</v>
      </c>
      <c r="J102" t="s">
        <v>383</v>
      </c>
      <c r="K102" t="s">
        <v>392</v>
      </c>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row>
    <row r="103" spans="1:108" s="123" customFormat="1" x14ac:dyDescent="0.2">
      <c r="A103" s="85" t="s">
        <v>167</v>
      </c>
      <c r="B103" t="s">
        <v>90</v>
      </c>
      <c r="C103" t="s">
        <v>81</v>
      </c>
      <c r="D103" s="131"/>
      <c r="E103" s="117"/>
      <c r="F103" s="11"/>
      <c r="G103" s="118">
        <f>Recettes!D440</f>
        <v>0.15349200000000002</v>
      </c>
      <c r="H103" t="s">
        <v>8</v>
      </c>
      <c r="I103" t="s">
        <v>383</v>
      </c>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row>
    <row r="104" spans="1:108" s="123" customFormat="1" x14ac:dyDescent="0.2">
      <c r="A104" s="85" t="s">
        <v>168</v>
      </c>
      <c r="B104" t="s">
        <v>90</v>
      </c>
      <c r="C104" t="s">
        <v>81</v>
      </c>
      <c r="D104" s="131"/>
      <c r="E104" s="117"/>
      <c r="F104" s="11"/>
      <c r="G104" s="118">
        <f>Recettes!D469</f>
        <v>0.33661000000000002</v>
      </c>
      <c r="H104" t="s">
        <v>8</v>
      </c>
      <c r="I104" t="s">
        <v>382</v>
      </c>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row>
    <row r="105" spans="1:108" s="123" customFormat="1" x14ac:dyDescent="0.2">
      <c r="A105" s="85" t="s">
        <v>169</v>
      </c>
      <c r="B105" t="s">
        <v>90</v>
      </c>
      <c r="C105" t="s">
        <v>81</v>
      </c>
      <c r="D105" s="131"/>
      <c r="E105" s="117"/>
      <c r="F105" s="11"/>
      <c r="G105" s="118">
        <f>Recettes!D487</f>
        <v>0.16216</v>
      </c>
      <c r="H105" t="s">
        <v>8</v>
      </c>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row>
    <row r="106" spans="1:108" s="123" customFormat="1" x14ac:dyDescent="0.2">
      <c r="A106" s="85"/>
      <c r="B106"/>
      <c r="C106"/>
      <c r="D106" s="131"/>
      <c r="E106" s="117"/>
      <c r="F106" s="11"/>
      <c r="G106" s="118"/>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row>
    <row r="107" spans="1:108" s="123" customFormat="1" x14ac:dyDescent="0.2">
      <c r="A107" s="85"/>
      <c r="B107"/>
      <c r="C107"/>
      <c r="D107" s="131"/>
      <c r="E107" s="117"/>
      <c r="F107" s="11"/>
      <c r="G107" s="118"/>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row>
    <row r="108" spans="1:108" s="123" customFormat="1" x14ac:dyDescent="0.2">
      <c r="A108" s="85"/>
      <c r="B108"/>
      <c r="C108"/>
      <c r="D108" s="131"/>
      <c r="E108" s="117"/>
      <c r="F108" s="11"/>
      <c r="G108" s="11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row>
    <row r="109" spans="1:108" s="123" customFormat="1" x14ac:dyDescent="0.2">
      <c r="A109" s="85"/>
      <c r="B109"/>
      <c r="C109"/>
      <c r="D109" s="131"/>
      <c r="E109" s="117"/>
      <c r="F109" s="11"/>
      <c r="G109" s="118"/>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row>
    <row r="110" spans="1:108" s="123" customFormat="1" x14ac:dyDescent="0.2">
      <c r="A110" s="85"/>
      <c r="B110"/>
      <c r="C110"/>
      <c r="D110" s="131"/>
      <c r="E110" s="117"/>
      <c r="F110" s="11"/>
      <c r="G110" s="118"/>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row>
    <row r="111" spans="1:108" s="123" customFormat="1" x14ac:dyDescent="0.2">
      <c r="A111" s="85"/>
      <c r="B111"/>
      <c r="C111"/>
      <c r="D111" s="131"/>
      <c r="E111" s="117"/>
      <c r="F111" s="11"/>
      <c r="G111" s="118"/>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row>
    <row r="112" spans="1:108" s="123" customFormat="1" x14ac:dyDescent="0.2">
      <c r="A112" s="85"/>
      <c r="B112"/>
      <c r="C112"/>
      <c r="D112" s="131"/>
      <c r="E112" s="117"/>
      <c r="F112" s="11"/>
      <c r="G112" s="118"/>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row>
    <row r="113" spans="1:108" s="123" customFormat="1" x14ac:dyDescent="0.2">
      <c r="A113" s="85"/>
      <c r="B113"/>
      <c r="C113"/>
      <c r="D113" s="131"/>
      <c r="E113" s="117"/>
      <c r="F113" s="11"/>
      <c r="G113" s="118"/>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row>
    <row r="114" spans="1:108" s="123" customFormat="1" x14ac:dyDescent="0.2">
      <c r="A114" s="85"/>
      <c r="B114"/>
      <c r="C114"/>
      <c r="D114" s="131"/>
      <c r="E114" s="117"/>
      <c r="F114" s="11"/>
      <c r="G114" s="118"/>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row>
    <row r="115" spans="1:108" s="123" customFormat="1" x14ac:dyDescent="0.2">
      <c r="A115" s="85"/>
      <c r="B115"/>
      <c r="C115"/>
      <c r="D115" s="131"/>
      <c r="E115" s="117"/>
      <c r="F115" s="11"/>
      <c r="G115" s="118"/>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row>
  </sheetData>
  <autoFilter ref="A1:DD89" xr:uid="{2FA91CE7-A6EC-F643-BAD0-8F69D45AAEB6}"/>
  <sortState xmlns:xlrd2="http://schemas.microsoft.com/office/spreadsheetml/2017/richdata2" ref="A2:H89">
    <sortCondition ref="G2:G89"/>
  </sortState>
  <dataValidations count="4">
    <dataValidation type="list" allowBlank="1" showInputMessage="1" showErrorMessage="1" sqref="A90:A1048576 A2:A88" xr:uid="{8ECAB697-6D67-1340-827D-AE0D537D4BBD}">
      <formula1>TProduits</formula1>
    </dataValidation>
    <dataValidation type="list" allowBlank="1" showInputMessage="1" showErrorMessage="1" sqref="B90:B1048576 B2:B88" xr:uid="{1B35C0C7-BC7B-3644-B55E-4F01515A9256}">
      <formula1>TFournisseurs</formula1>
    </dataValidation>
    <dataValidation type="list" allowBlank="1" showInputMessage="1" showErrorMessage="1" sqref="C90:D1048576 C1:D88" xr:uid="{E91A0B96-66F6-7445-B78B-60E0E116C50B}">
      <formula1>TUnités</formula1>
    </dataValidation>
    <dataValidation type="list" allowBlank="1" showInputMessage="1" showErrorMessage="1" sqref="H90:Z1048576 H1:Z88" xr:uid="{23A805C5-2B51-FF4B-BA27-DCA054E88591}">
      <formula1>TAllergenes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50" r:id="rId3" name="Button 34">
              <controlPr defaultSize="0" print="0" autoFill="0" autoPict="0" macro="[0]!P_RecalculDesAllergenesDesPreparations">
                <anchor moveWithCells="1" sizeWithCells="1">
                  <from>
                    <xdr:col>26</xdr:col>
                    <xdr:colOff>63500</xdr:colOff>
                    <xdr:row>0</xdr:row>
                    <xdr:rowOff>0</xdr:rowOff>
                  </from>
                  <to>
                    <xdr:col>29</xdr:col>
                    <xdr:colOff>12700</xdr:colOff>
                    <xdr:row>1</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D096C-12A5-704F-A849-6C11DBB44583}">
  <sheetPr codeName="Feuil13"/>
  <dimension ref="A1:I34"/>
  <sheetViews>
    <sheetView workbookViewId="0"/>
  </sheetViews>
  <sheetFormatPr baseColWidth="10" defaultRowHeight="16" x14ac:dyDescent="0.2"/>
  <cols>
    <col min="1" max="1" width="21.1640625" customWidth="1"/>
    <col min="2" max="2" width="25.6640625" bestFit="1" customWidth="1"/>
    <col min="3" max="3" width="20.1640625" bestFit="1" customWidth="1"/>
    <col min="4" max="4" width="18.6640625" bestFit="1" customWidth="1"/>
    <col min="5" max="5" width="16.6640625" bestFit="1" customWidth="1"/>
    <col min="6" max="6" width="47.33203125" bestFit="1" customWidth="1"/>
    <col min="7" max="7" width="19" bestFit="1" customWidth="1"/>
    <col min="8" max="8" width="23" bestFit="1" customWidth="1"/>
    <col min="9" max="9" width="37" bestFit="1" customWidth="1"/>
    <col min="10" max="10" width="18.33203125" bestFit="1" customWidth="1"/>
    <col min="11" max="11" width="11.83203125" bestFit="1" customWidth="1"/>
    <col min="12" max="12" width="12.83203125" bestFit="1" customWidth="1"/>
    <col min="13" max="13" width="20.6640625" bestFit="1" customWidth="1"/>
    <col min="14" max="14" width="13" bestFit="1" customWidth="1"/>
    <col min="15" max="15" width="47.33203125" bestFit="1" customWidth="1"/>
    <col min="16" max="16" width="37" bestFit="1" customWidth="1"/>
  </cols>
  <sheetData>
    <row r="1" spans="1:9" ht="66" customHeight="1" x14ac:dyDescent="0.2">
      <c r="A1">
        <v>1</v>
      </c>
      <c r="B1" s="127" t="s">
        <v>59</v>
      </c>
      <c r="C1" s="127" t="s">
        <v>377</v>
      </c>
      <c r="D1" s="127" t="s">
        <v>365</v>
      </c>
      <c r="E1" s="127" t="s">
        <v>367</v>
      </c>
      <c r="F1" s="127" t="s">
        <v>369</v>
      </c>
      <c r="G1" s="127" t="s">
        <v>368</v>
      </c>
      <c r="H1" s="127" t="s">
        <v>370</v>
      </c>
      <c r="I1" s="127" t="s">
        <v>90</v>
      </c>
    </row>
    <row r="2" spans="1:9" x14ac:dyDescent="0.2">
      <c r="B2" s="129" t="s">
        <v>76</v>
      </c>
      <c r="C2" s="129" t="s">
        <v>55</v>
      </c>
      <c r="D2" s="129" t="s">
        <v>10</v>
      </c>
      <c r="E2" s="129" t="s">
        <v>13</v>
      </c>
      <c r="F2" s="129" t="s">
        <v>27</v>
      </c>
      <c r="G2" s="129" t="s">
        <v>106</v>
      </c>
      <c r="H2" s="129" t="s">
        <v>36</v>
      </c>
      <c r="I2" s="128" t="s">
        <v>354</v>
      </c>
    </row>
    <row r="3" spans="1:9" x14ac:dyDescent="0.2">
      <c r="B3" s="129" t="s">
        <v>75</v>
      </c>
      <c r="C3" s="129" t="s">
        <v>119</v>
      </c>
      <c r="D3" s="129" t="s">
        <v>29</v>
      </c>
      <c r="E3" s="129" t="s">
        <v>12</v>
      </c>
      <c r="F3" s="129" t="s">
        <v>26</v>
      </c>
      <c r="G3" s="129" t="s">
        <v>22</v>
      </c>
      <c r="H3" s="129" t="s">
        <v>37</v>
      </c>
      <c r="I3" s="128" t="s">
        <v>355</v>
      </c>
    </row>
    <row r="4" spans="1:9" x14ac:dyDescent="0.2">
      <c r="B4" s="129" t="s">
        <v>73</v>
      </c>
      <c r="C4" s="129" t="s">
        <v>127</v>
      </c>
      <c r="D4" s="128" t="s">
        <v>11</v>
      </c>
      <c r="G4" s="129" t="s">
        <v>16</v>
      </c>
      <c r="H4" s="129" t="s">
        <v>38</v>
      </c>
      <c r="I4" s="128" t="s">
        <v>96</v>
      </c>
    </row>
    <row r="5" spans="1:9" x14ac:dyDescent="0.2">
      <c r="B5" s="129" t="s">
        <v>74</v>
      </c>
      <c r="C5" s="129" t="s">
        <v>39</v>
      </c>
      <c r="D5" s="128" t="s">
        <v>80</v>
      </c>
      <c r="G5" s="129" t="s">
        <v>66</v>
      </c>
      <c r="H5" s="129" t="s">
        <v>35</v>
      </c>
      <c r="I5" s="128" t="s">
        <v>98</v>
      </c>
    </row>
    <row r="6" spans="1:9" x14ac:dyDescent="0.2">
      <c r="B6" s="129" t="s">
        <v>9</v>
      </c>
      <c r="C6" s="129" t="s">
        <v>58</v>
      </c>
      <c r="D6" s="128" t="s">
        <v>67</v>
      </c>
      <c r="G6" s="129" t="s">
        <v>15</v>
      </c>
      <c r="H6" s="129" t="s">
        <v>24</v>
      </c>
      <c r="I6" s="128" t="s">
        <v>100</v>
      </c>
    </row>
    <row r="7" spans="1:9" x14ac:dyDescent="0.2">
      <c r="B7" s="129" t="s">
        <v>43</v>
      </c>
      <c r="C7" s="128" t="s">
        <v>40</v>
      </c>
      <c r="G7" s="129" t="s">
        <v>52</v>
      </c>
      <c r="H7" s="129" t="s">
        <v>34</v>
      </c>
      <c r="I7" s="128" t="s">
        <v>104</v>
      </c>
    </row>
    <row r="8" spans="1:9" x14ac:dyDescent="0.2">
      <c r="B8" s="129" t="s">
        <v>111</v>
      </c>
      <c r="C8" s="128" t="s">
        <v>54</v>
      </c>
      <c r="G8" s="129" t="s">
        <v>19</v>
      </c>
      <c r="H8" s="129" t="s">
        <v>57</v>
      </c>
      <c r="I8" s="128" t="s">
        <v>109</v>
      </c>
    </row>
    <row r="9" spans="1:9" x14ac:dyDescent="0.2">
      <c r="B9" s="129" t="s">
        <v>33</v>
      </c>
      <c r="C9" s="128" t="s">
        <v>41</v>
      </c>
      <c r="G9" s="129" t="s">
        <v>20</v>
      </c>
      <c r="H9" s="129" t="s">
        <v>93</v>
      </c>
      <c r="I9" s="128" t="s">
        <v>110</v>
      </c>
    </row>
    <row r="10" spans="1:9" x14ac:dyDescent="0.2">
      <c r="B10" s="129" t="s">
        <v>8</v>
      </c>
      <c r="C10" s="128" t="s">
        <v>42</v>
      </c>
      <c r="G10" s="128" t="s">
        <v>18</v>
      </c>
      <c r="I10" s="128" t="s">
        <v>162</v>
      </c>
    </row>
    <row r="11" spans="1:9" x14ac:dyDescent="0.2">
      <c r="B11" s="129" t="s">
        <v>65</v>
      </c>
      <c r="C11" s="128" t="s">
        <v>117</v>
      </c>
      <c r="G11" s="128" t="s">
        <v>25</v>
      </c>
      <c r="I11" s="128" t="s">
        <v>163</v>
      </c>
    </row>
    <row r="12" spans="1:9" x14ac:dyDescent="0.2">
      <c r="B12" s="129" t="s">
        <v>101</v>
      </c>
      <c r="C12" s="128" t="s">
        <v>69</v>
      </c>
      <c r="I12" s="128" t="s">
        <v>164</v>
      </c>
    </row>
    <row r="13" spans="1:9" x14ac:dyDescent="0.2">
      <c r="B13" s="128" t="s">
        <v>102</v>
      </c>
      <c r="I13" s="128" t="s">
        <v>165</v>
      </c>
    </row>
    <row r="14" spans="1:9" x14ac:dyDescent="0.2">
      <c r="B14" s="128" t="s">
        <v>97</v>
      </c>
      <c r="I14" s="128" t="s">
        <v>167</v>
      </c>
    </row>
    <row r="15" spans="1:9" x14ac:dyDescent="0.2">
      <c r="B15" s="128" t="s">
        <v>30</v>
      </c>
      <c r="I15" s="128" t="s">
        <v>168</v>
      </c>
    </row>
    <row r="16" spans="1:9" x14ac:dyDescent="0.2">
      <c r="B16" s="128" t="s">
        <v>77</v>
      </c>
      <c r="I16" s="128" t="s">
        <v>169</v>
      </c>
    </row>
    <row r="17" spans="2:2" x14ac:dyDescent="0.2">
      <c r="B17" s="128" t="s">
        <v>105</v>
      </c>
    </row>
    <row r="18" spans="2:2" x14ac:dyDescent="0.2">
      <c r="B18" s="128" t="s">
        <v>44</v>
      </c>
    </row>
    <row r="19" spans="2:2" x14ac:dyDescent="0.2">
      <c r="B19" s="128" t="s">
        <v>51</v>
      </c>
    </row>
    <row r="20" spans="2:2" x14ac:dyDescent="0.2">
      <c r="B20" s="128" t="s">
        <v>31</v>
      </c>
    </row>
    <row r="21" spans="2:2" x14ac:dyDescent="0.2">
      <c r="B21" s="128" t="s">
        <v>49</v>
      </c>
    </row>
    <row r="22" spans="2:2" x14ac:dyDescent="0.2">
      <c r="B22" s="128" t="s">
        <v>70</v>
      </c>
    </row>
    <row r="23" spans="2:2" x14ac:dyDescent="0.2">
      <c r="B23" s="128" t="s">
        <v>166</v>
      </c>
    </row>
    <row r="24" spans="2:2" x14ac:dyDescent="0.2">
      <c r="B24" s="128" t="s">
        <v>53</v>
      </c>
    </row>
    <row r="25" spans="2:2" x14ac:dyDescent="0.2">
      <c r="B25" s="128" t="s">
        <v>23</v>
      </c>
    </row>
    <row r="26" spans="2:2" x14ac:dyDescent="0.2">
      <c r="B26" s="128" t="s">
        <v>50</v>
      </c>
    </row>
    <row r="27" spans="2:2" x14ac:dyDescent="0.2">
      <c r="B27" s="128" t="s">
        <v>45</v>
      </c>
    </row>
    <row r="28" spans="2:2" x14ac:dyDescent="0.2">
      <c r="B28" s="128" t="s">
        <v>68</v>
      </c>
    </row>
    <row r="29" spans="2:2" x14ac:dyDescent="0.2">
      <c r="B29" s="128" t="s">
        <v>46</v>
      </c>
    </row>
    <row r="30" spans="2:2" x14ac:dyDescent="0.2">
      <c r="B30" s="128" t="s">
        <v>17</v>
      </c>
    </row>
    <row r="31" spans="2:2" x14ac:dyDescent="0.2">
      <c r="B31" s="128" t="s">
        <v>21</v>
      </c>
    </row>
    <row r="32" spans="2:2" x14ac:dyDescent="0.2">
      <c r="B32" s="128" t="s">
        <v>47</v>
      </c>
    </row>
    <row r="33" spans="2:2" x14ac:dyDescent="0.2">
      <c r="B33" s="128" t="s">
        <v>28</v>
      </c>
    </row>
    <row r="34" spans="2:2" x14ac:dyDescent="0.2">
      <c r="B34" s="128" t="s">
        <v>48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PPP_Raffraichir">
                <anchor moveWithCells="1" sizeWithCells="1">
                  <from>
                    <xdr:col>0</xdr:col>
                    <xdr:colOff>165100</xdr:colOff>
                    <xdr:row>0</xdr:row>
                    <xdr:rowOff>63500</xdr:rowOff>
                  </from>
                  <to>
                    <xdr:col>0</xdr:col>
                    <xdr:colOff>1460500</xdr:colOff>
                    <xdr:row>0</xdr:row>
                    <xdr:rowOff>673100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3986C-1A81-444B-A34D-336AF45F20D7}">
  <sheetPr codeName="Feuil14"/>
  <dimension ref="A1:I30"/>
  <sheetViews>
    <sheetView workbookViewId="0">
      <selection activeCell="H1" sqref="H1"/>
    </sheetView>
  </sheetViews>
  <sheetFormatPr baseColWidth="10" defaultRowHeight="16" x14ac:dyDescent="0.2"/>
  <cols>
    <col min="1" max="1" width="19.83203125" customWidth="1"/>
    <col min="2" max="2" width="25.6640625" bestFit="1" customWidth="1"/>
    <col min="3" max="3" width="20.1640625" bestFit="1" customWidth="1"/>
    <col min="4" max="4" width="18.6640625" bestFit="1" customWidth="1"/>
    <col min="5" max="5" width="16.6640625" bestFit="1" customWidth="1"/>
    <col min="6" max="6" width="45.83203125" bestFit="1" customWidth="1"/>
    <col min="7" max="7" width="19" bestFit="1" customWidth="1"/>
    <col min="8" max="8" width="23" bestFit="1" customWidth="1"/>
    <col min="9" max="9" width="37" bestFit="1" customWidth="1"/>
    <col min="10" max="10" width="18.33203125" bestFit="1" customWidth="1"/>
    <col min="11" max="11" width="11.83203125" bestFit="1" customWidth="1"/>
    <col min="12" max="12" width="12.83203125" bestFit="1" customWidth="1"/>
    <col min="13" max="13" width="20.6640625" bestFit="1" customWidth="1"/>
    <col min="14" max="14" width="13" bestFit="1" customWidth="1"/>
    <col min="15" max="15" width="45.83203125" bestFit="1" customWidth="1"/>
    <col min="16" max="16" width="37" bestFit="1" customWidth="1"/>
  </cols>
  <sheetData>
    <row r="1" spans="1:9" ht="66" customHeight="1" x14ac:dyDescent="0.2">
      <c r="A1">
        <v>1</v>
      </c>
      <c r="B1" s="127" t="s">
        <v>59</v>
      </c>
      <c r="C1" s="127" t="s">
        <v>377</v>
      </c>
      <c r="D1" s="127" t="s">
        <v>365</v>
      </c>
      <c r="E1" s="127" t="s">
        <v>367</v>
      </c>
      <c r="F1" s="127" t="s">
        <v>369</v>
      </c>
      <c r="G1" s="127" t="s">
        <v>368</v>
      </c>
      <c r="H1" s="127" t="s">
        <v>370</v>
      </c>
      <c r="I1" s="127" t="s">
        <v>90</v>
      </c>
    </row>
    <row r="2" spans="1:9" x14ac:dyDescent="0.2">
      <c r="B2" s="129" t="s">
        <v>76</v>
      </c>
      <c r="C2" s="129" t="s">
        <v>55</v>
      </c>
      <c r="D2" s="129" t="s">
        <v>10</v>
      </c>
      <c r="E2" s="129" t="s">
        <v>13</v>
      </c>
      <c r="F2" s="129" t="s">
        <v>26</v>
      </c>
      <c r="G2" s="129" t="s">
        <v>106</v>
      </c>
      <c r="H2" s="129" t="s">
        <v>37</v>
      </c>
      <c r="I2" s="128" t="s">
        <v>354</v>
      </c>
    </row>
    <row r="3" spans="1:9" x14ac:dyDescent="0.2">
      <c r="B3" s="129" t="s">
        <v>75</v>
      </c>
      <c r="C3" s="129" t="s">
        <v>119</v>
      </c>
      <c r="D3" s="129" t="s">
        <v>29</v>
      </c>
      <c r="E3" s="128" t="s">
        <v>12</v>
      </c>
      <c r="G3" s="129" t="s">
        <v>22</v>
      </c>
      <c r="H3" s="129" t="s">
        <v>35</v>
      </c>
      <c r="I3" s="128" t="s">
        <v>355</v>
      </c>
    </row>
    <row r="4" spans="1:9" x14ac:dyDescent="0.2">
      <c r="A4" t="s">
        <v>378</v>
      </c>
      <c r="B4" s="129" t="s">
        <v>73</v>
      </c>
      <c r="C4" s="129" t="s">
        <v>127</v>
      </c>
      <c r="D4" s="128" t="s">
        <v>11</v>
      </c>
      <c r="G4" s="129" t="s">
        <v>16</v>
      </c>
      <c r="H4" s="129" t="s">
        <v>24</v>
      </c>
      <c r="I4" s="128" t="s">
        <v>96</v>
      </c>
    </row>
    <row r="5" spans="1:9" x14ac:dyDescent="0.2">
      <c r="B5" s="129" t="s">
        <v>74</v>
      </c>
      <c r="C5" s="129" t="s">
        <v>39</v>
      </c>
      <c r="D5" s="128" t="s">
        <v>67</v>
      </c>
      <c r="G5" s="129" t="s">
        <v>66</v>
      </c>
      <c r="H5" s="129" t="s">
        <v>57</v>
      </c>
      <c r="I5" s="128" t="s">
        <v>98</v>
      </c>
    </row>
    <row r="6" spans="1:9" x14ac:dyDescent="0.2">
      <c r="B6" s="129" t="s">
        <v>9</v>
      </c>
      <c r="C6" s="128" t="s">
        <v>58</v>
      </c>
      <c r="G6" s="129" t="s">
        <v>15</v>
      </c>
      <c r="H6" s="129" t="s">
        <v>93</v>
      </c>
      <c r="I6" s="128" t="s">
        <v>100</v>
      </c>
    </row>
    <row r="7" spans="1:9" x14ac:dyDescent="0.2">
      <c r="B7" s="129" t="s">
        <v>43</v>
      </c>
      <c r="C7" s="128" t="s">
        <v>40</v>
      </c>
      <c r="G7" s="128" t="s">
        <v>52</v>
      </c>
      <c r="I7" s="128" t="s">
        <v>104</v>
      </c>
    </row>
    <row r="8" spans="1:9" x14ac:dyDescent="0.2">
      <c r="B8" s="129" t="s">
        <v>111</v>
      </c>
      <c r="C8" s="128" t="s">
        <v>54</v>
      </c>
      <c r="G8" s="128" t="s">
        <v>19</v>
      </c>
      <c r="I8" s="128" t="s">
        <v>109</v>
      </c>
    </row>
    <row r="9" spans="1:9" x14ac:dyDescent="0.2">
      <c r="B9" s="129" t="s">
        <v>33</v>
      </c>
      <c r="C9" s="128" t="s">
        <v>41</v>
      </c>
      <c r="G9" s="128" t="s">
        <v>20</v>
      </c>
      <c r="I9" s="128" t="s">
        <v>110</v>
      </c>
    </row>
    <row r="10" spans="1:9" x14ac:dyDescent="0.2">
      <c r="B10" s="129" t="s">
        <v>8</v>
      </c>
      <c r="C10" s="128" t="s">
        <v>42</v>
      </c>
      <c r="G10" s="128" t="s">
        <v>18</v>
      </c>
      <c r="I10" s="128" t="s">
        <v>162</v>
      </c>
    </row>
    <row r="11" spans="1:9" x14ac:dyDescent="0.2">
      <c r="B11" s="129" t="s">
        <v>65</v>
      </c>
      <c r="C11" s="128" t="s">
        <v>117</v>
      </c>
      <c r="G11" s="128" t="s">
        <v>25</v>
      </c>
      <c r="I11" s="128" t="s">
        <v>163</v>
      </c>
    </row>
    <row r="12" spans="1:9" x14ac:dyDescent="0.2">
      <c r="B12" s="129" t="s">
        <v>101</v>
      </c>
      <c r="C12" s="128" t="s">
        <v>69</v>
      </c>
      <c r="I12" s="128" t="s">
        <v>165</v>
      </c>
    </row>
    <row r="13" spans="1:9" x14ac:dyDescent="0.2">
      <c r="B13" s="128" t="s">
        <v>102</v>
      </c>
      <c r="I13" s="128" t="s">
        <v>167</v>
      </c>
    </row>
    <row r="14" spans="1:9" x14ac:dyDescent="0.2">
      <c r="B14" s="128" t="s">
        <v>97</v>
      </c>
      <c r="I14" s="128" t="s">
        <v>168</v>
      </c>
    </row>
    <row r="15" spans="1:9" x14ac:dyDescent="0.2">
      <c r="B15" s="128" t="s">
        <v>30</v>
      </c>
      <c r="I15" s="128" t="s">
        <v>169</v>
      </c>
    </row>
    <row r="16" spans="1:9" x14ac:dyDescent="0.2">
      <c r="B16" s="128" t="s">
        <v>77</v>
      </c>
    </row>
    <row r="17" spans="2:2" x14ac:dyDescent="0.2">
      <c r="B17" s="128" t="s">
        <v>105</v>
      </c>
    </row>
    <row r="18" spans="2:2" x14ac:dyDescent="0.2">
      <c r="B18" s="128" t="s">
        <v>44</v>
      </c>
    </row>
    <row r="19" spans="2:2" x14ac:dyDescent="0.2">
      <c r="B19" s="128" t="s">
        <v>51</v>
      </c>
    </row>
    <row r="20" spans="2:2" x14ac:dyDescent="0.2">
      <c r="B20" s="128" t="s">
        <v>49</v>
      </c>
    </row>
    <row r="21" spans="2:2" x14ac:dyDescent="0.2">
      <c r="B21" s="128" t="s">
        <v>70</v>
      </c>
    </row>
    <row r="22" spans="2:2" x14ac:dyDescent="0.2">
      <c r="B22" s="128" t="s">
        <v>166</v>
      </c>
    </row>
    <row r="23" spans="2:2" x14ac:dyDescent="0.2">
      <c r="B23" s="128" t="s">
        <v>53</v>
      </c>
    </row>
    <row r="24" spans="2:2" x14ac:dyDescent="0.2">
      <c r="B24" s="128" t="s">
        <v>23</v>
      </c>
    </row>
    <row r="25" spans="2:2" x14ac:dyDescent="0.2">
      <c r="B25" s="128" t="s">
        <v>50</v>
      </c>
    </row>
    <row r="26" spans="2:2" x14ac:dyDescent="0.2">
      <c r="B26" s="128" t="s">
        <v>45</v>
      </c>
    </row>
    <row r="27" spans="2:2" x14ac:dyDescent="0.2">
      <c r="B27" s="128" t="s">
        <v>68</v>
      </c>
    </row>
    <row r="28" spans="2:2" x14ac:dyDescent="0.2">
      <c r="B28" s="128" t="s">
        <v>46</v>
      </c>
    </row>
    <row r="29" spans="2:2" x14ac:dyDescent="0.2">
      <c r="B29" s="128" t="s">
        <v>17</v>
      </c>
    </row>
    <row r="30" spans="2:2" x14ac:dyDescent="0.2">
      <c r="B30" s="128" t="s">
        <v>28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PPPER_Raffraichir">
                <anchor moveWithCells="1" sizeWithCells="1">
                  <from>
                    <xdr:col>0</xdr:col>
                    <xdr:colOff>165100</xdr:colOff>
                    <xdr:row>0</xdr:row>
                    <xdr:rowOff>63500</xdr:rowOff>
                  </from>
                  <to>
                    <xdr:col>0</xdr:col>
                    <xdr:colOff>1270000</xdr:colOff>
                    <xdr:row>0</xdr:row>
                    <xdr:rowOff>736600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8E2A4-D308-DE4A-A546-125BFAF5E85B}">
  <sheetPr codeName="Feuil4"/>
  <dimension ref="A1:M662"/>
  <sheetViews>
    <sheetView tabSelected="1" workbookViewId="0">
      <selection activeCell="R15" sqref="R15"/>
    </sheetView>
  </sheetViews>
  <sheetFormatPr baseColWidth="10" defaultRowHeight="16" x14ac:dyDescent="0.2"/>
  <cols>
    <col min="1" max="1" width="38.1640625" style="19" bestFit="1" customWidth="1"/>
    <col min="2" max="2" width="45.83203125" bestFit="1" customWidth="1"/>
    <col min="3" max="3" width="45.83203125" customWidth="1"/>
    <col min="4" max="4" width="7.83203125" style="11" bestFit="1" customWidth="1"/>
    <col min="5" max="5" width="11.1640625" bestFit="1" customWidth="1"/>
    <col min="6" max="6" width="24.1640625" style="9" bestFit="1" customWidth="1"/>
    <col min="7" max="7" width="30.1640625" style="9" bestFit="1" customWidth="1"/>
    <col min="8" max="9" width="5" customWidth="1"/>
  </cols>
  <sheetData>
    <row r="1" spans="1:7" s="80" customFormat="1" ht="17" x14ac:dyDescent="0.2">
      <c r="A1" s="72" t="s">
        <v>113</v>
      </c>
      <c r="B1" s="105" t="s">
        <v>128</v>
      </c>
      <c r="C1" s="105"/>
      <c r="D1" s="105"/>
      <c r="E1" s="105"/>
      <c r="F1" s="105"/>
      <c r="G1" s="105"/>
    </row>
    <row r="2" spans="1:7" ht="17" thickBot="1" x14ac:dyDescent="0.25"/>
    <row r="3" spans="1:7" s="19" customFormat="1" ht="17" thickBot="1" x14ac:dyDescent="0.25">
      <c r="A3" s="12" t="s">
        <v>115</v>
      </c>
      <c r="B3" s="124" t="s">
        <v>402</v>
      </c>
      <c r="C3" s="135"/>
      <c r="D3" s="13"/>
      <c r="E3" s="12"/>
      <c r="F3" s="14"/>
      <c r="G3" s="14"/>
    </row>
    <row r="4" spans="1:7" ht="17" x14ac:dyDescent="0.2">
      <c r="A4" s="12"/>
      <c r="B4" s="12"/>
      <c r="C4" s="87" t="s">
        <v>1</v>
      </c>
      <c r="D4" s="87" t="s">
        <v>82</v>
      </c>
      <c r="E4" s="87" t="s">
        <v>83</v>
      </c>
      <c r="F4" s="87" t="s">
        <v>84</v>
      </c>
      <c r="G4" s="87" t="s">
        <v>85</v>
      </c>
    </row>
    <row r="5" spans="1:7" x14ac:dyDescent="0.2">
      <c r="A5" s="12"/>
      <c r="B5" s="2" t="s">
        <v>12</v>
      </c>
      <c r="C5" s="2"/>
      <c r="D5" s="6">
        <v>2</v>
      </c>
      <c r="E5" s="3" t="str">
        <f>VLOOKUP(B5,Produits!A:G,3,FALSE)</f>
        <v>Kilogramme</v>
      </c>
      <c r="F5" s="134">
        <f>VLOOKUP(B5,Produits!A:G,7,FALSE)</f>
        <v>2.95</v>
      </c>
      <c r="G5" s="104">
        <f>F5*D5</f>
        <v>5.9</v>
      </c>
    </row>
    <row r="6" spans="1:7" x14ac:dyDescent="0.2">
      <c r="A6" s="12"/>
      <c r="B6" s="2" t="s">
        <v>11</v>
      </c>
      <c r="C6" s="2"/>
      <c r="D6" s="6">
        <v>2.5000000000000001E-2</v>
      </c>
      <c r="E6" s="3" t="str">
        <f>VLOOKUP(B6,Produits!A:G,3,FALSE)</f>
        <v>Kilogramme</v>
      </c>
      <c r="F6" s="134">
        <f>VLOOKUP(B6,Produits!A:G,7,FALSE)</f>
        <v>7</v>
      </c>
      <c r="G6" s="104">
        <f t="shared" ref="G6" si="0">F6*D6</f>
        <v>0.17500000000000002</v>
      </c>
    </row>
    <row r="7" spans="1:7" ht="17" x14ac:dyDescent="0.2">
      <c r="A7" s="12"/>
      <c r="B7" s="90" t="s">
        <v>86</v>
      </c>
      <c r="C7" s="90"/>
      <c r="D7" s="103"/>
      <c r="E7" s="103"/>
      <c r="F7" s="103"/>
      <c r="G7" s="104">
        <f>SUM(G5:G6)</f>
        <v>6.0750000000000002</v>
      </c>
    </row>
    <row r="8" spans="1:7" x14ac:dyDescent="0.2">
      <c r="A8" s="12"/>
      <c r="B8" s="89" t="s">
        <v>138</v>
      </c>
      <c r="C8" s="89"/>
      <c r="D8" s="6">
        <v>50</v>
      </c>
      <c r="E8" s="12"/>
      <c r="F8" s="12"/>
      <c r="G8" s="12"/>
    </row>
    <row r="9" spans="1:7" s="15" customFormat="1" x14ac:dyDescent="0.2">
      <c r="A9" s="12"/>
      <c r="B9" s="89" t="s">
        <v>129</v>
      </c>
      <c r="C9" s="89"/>
      <c r="D9" s="104">
        <f>G7/D8</f>
        <v>0.1215</v>
      </c>
      <c r="E9" s="12"/>
      <c r="F9" s="12"/>
      <c r="G9" s="12"/>
    </row>
    <row r="11" spans="1:7" s="19" customFormat="1" x14ac:dyDescent="0.2">
      <c r="A11" s="12" t="s">
        <v>115</v>
      </c>
      <c r="B11" s="12" t="s">
        <v>403</v>
      </c>
      <c r="C11" s="12"/>
      <c r="D11" s="13"/>
      <c r="E11" s="12"/>
      <c r="F11" s="14"/>
      <c r="G11" s="14"/>
    </row>
    <row r="12" spans="1:7" ht="17" x14ac:dyDescent="0.2">
      <c r="A12" s="12"/>
      <c r="B12" s="12"/>
      <c r="C12" s="12"/>
      <c r="D12" s="87" t="s">
        <v>82</v>
      </c>
      <c r="E12" s="87" t="s">
        <v>83</v>
      </c>
      <c r="F12" s="87" t="s">
        <v>84</v>
      </c>
      <c r="G12" s="87" t="s">
        <v>85</v>
      </c>
    </row>
    <row r="13" spans="1:7" x14ac:dyDescent="0.2">
      <c r="A13" s="12"/>
      <c r="B13" s="2" t="s">
        <v>407</v>
      </c>
      <c r="C13" s="2"/>
      <c r="D13" s="6">
        <v>2</v>
      </c>
      <c r="E13" s="3" t="str">
        <f>VLOOKUP(B13,Produits!A:G,3,FALSE)</f>
        <v>Kilogramme</v>
      </c>
      <c r="F13" s="134">
        <f>VLOOKUP(B13,Produits!A:G,7,FALSE)</f>
        <v>3.3333333333333335</v>
      </c>
      <c r="G13" s="104">
        <f>F13*D13</f>
        <v>6.666666666666667</v>
      </c>
    </row>
    <row r="14" spans="1:7" x14ac:dyDescent="0.2">
      <c r="A14" s="12"/>
      <c r="B14" s="2" t="s">
        <v>65</v>
      </c>
      <c r="C14" s="2"/>
      <c r="D14" s="6">
        <v>0.3</v>
      </c>
      <c r="E14" s="3" t="str">
        <f>VLOOKUP(B14,Produits!A:G,3,FALSE)</f>
        <v>Kilogramme</v>
      </c>
      <c r="F14" s="134">
        <f>VLOOKUP(B14,Produits!A:G,7,FALSE)</f>
        <v>1.85</v>
      </c>
      <c r="G14" s="104">
        <f t="shared" ref="G14:G17" si="1">F14*D14</f>
        <v>0.55500000000000005</v>
      </c>
    </row>
    <row r="15" spans="1:7" x14ac:dyDescent="0.2">
      <c r="A15" s="12"/>
      <c r="B15" s="2" t="s">
        <v>9</v>
      </c>
      <c r="C15" s="2"/>
      <c r="D15" s="6">
        <v>9</v>
      </c>
      <c r="E15" s="3" t="str">
        <f>VLOOKUP(B15,Produits!A:G,3,FALSE)</f>
        <v>Pièce</v>
      </c>
      <c r="F15" s="134">
        <f>VLOOKUP(B15,Produits!A:G,7,FALSE)</f>
        <v>0.35749999999999998</v>
      </c>
      <c r="G15" s="104">
        <f t="shared" si="1"/>
        <v>3.2174999999999998</v>
      </c>
    </row>
    <row r="16" spans="1:7" x14ac:dyDescent="0.2">
      <c r="A16" s="12"/>
      <c r="B16" s="2" t="s">
        <v>8</v>
      </c>
      <c r="C16" s="2"/>
      <c r="D16" s="6">
        <v>2.2999999999999998</v>
      </c>
      <c r="E16" s="3" t="str">
        <f>VLOOKUP(B16,Produits!A:G,3,FALSE)</f>
        <v>Litre</v>
      </c>
      <c r="F16" s="134">
        <f>VLOOKUP(B16,Produits!A:G,7,FALSE)</f>
        <v>1.46</v>
      </c>
      <c r="G16" s="104">
        <f t="shared" si="1"/>
        <v>3.3579999999999997</v>
      </c>
    </row>
    <row r="17" spans="1:7" x14ac:dyDescent="0.2">
      <c r="A17" s="12"/>
      <c r="B17" s="2" t="s">
        <v>47</v>
      </c>
      <c r="C17" s="2"/>
      <c r="D17" s="6">
        <v>5.0000000000000001E-3</v>
      </c>
      <c r="E17" s="3" t="str">
        <f>VLOOKUP(B17,Produits!A:G,3,FALSE)</f>
        <v>Litre</v>
      </c>
      <c r="F17" s="134">
        <f>VLOOKUP(B17,Produits!A:G,7,FALSE)</f>
        <v>93</v>
      </c>
      <c r="G17" s="104">
        <f t="shared" si="1"/>
        <v>0.46500000000000002</v>
      </c>
    </row>
    <row r="18" spans="1:7" ht="17" x14ac:dyDescent="0.2">
      <c r="A18" s="12"/>
      <c r="B18" s="90" t="s">
        <v>86</v>
      </c>
      <c r="C18" s="90"/>
      <c r="D18" s="103"/>
      <c r="E18" s="94"/>
      <c r="F18" s="94"/>
      <c r="G18" s="104">
        <f>SUM(G13:G17)</f>
        <v>14.262166666666666</v>
      </c>
    </row>
    <row r="19" spans="1:7" x14ac:dyDescent="0.2">
      <c r="A19" s="12"/>
      <c r="B19" s="89" t="s">
        <v>138</v>
      </c>
      <c r="C19" s="89"/>
      <c r="D19" s="6">
        <v>40</v>
      </c>
      <c r="E19" s="12"/>
      <c r="F19" s="12"/>
      <c r="G19" s="12"/>
    </row>
    <row r="20" spans="1:7" s="15" customFormat="1" x14ac:dyDescent="0.2">
      <c r="A20" s="12"/>
      <c r="B20" s="89" t="s">
        <v>129</v>
      </c>
      <c r="C20" s="89"/>
      <c r="D20" s="104">
        <f>G18/D19</f>
        <v>0.35655416666666662</v>
      </c>
      <c r="E20" s="12"/>
      <c r="F20" s="12"/>
      <c r="G20" s="12"/>
    </row>
    <row r="22" spans="1:7" s="19" customFormat="1" x14ac:dyDescent="0.2">
      <c r="A22" s="12" t="s">
        <v>115</v>
      </c>
      <c r="B22" s="12" t="s">
        <v>406</v>
      </c>
      <c r="C22" s="12"/>
      <c r="D22" s="13"/>
      <c r="E22" s="12"/>
      <c r="F22" s="14"/>
      <c r="G22" s="14"/>
    </row>
    <row r="23" spans="1:7" ht="17" x14ac:dyDescent="0.2">
      <c r="A23" s="12"/>
      <c r="B23" s="12"/>
      <c r="C23" s="12"/>
      <c r="D23" s="87" t="s">
        <v>82</v>
      </c>
      <c r="E23" s="87" t="s">
        <v>83</v>
      </c>
      <c r="F23" s="87" t="s">
        <v>84</v>
      </c>
      <c r="G23" s="87" t="s">
        <v>85</v>
      </c>
    </row>
    <row r="24" spans="1:7" x14ac:dyDescent="0.2">
      <c r="A24" s="12"/>
      <c r="B24" s="2" t="s">
        <v>407</v>
      </c>
      <c r="C24" s="2"/>
      <c r="D24" s="6">
        <v>12</v>
      </c>
      <c r="E24" s="3" t="str">
        <f>VLOOKUP(B24,Produits!A:G,3,FALSE)</f>
        <v>Kilogramme</v>
      </c>
      <c r="F24" s="134">
        <f>VLOOKUP(B24,Produits!A:G,7,FALSE)</f>
        <v>3.3333333333333335</v>
      </c>
      <c r="G24" s="104">
        <f>F24*D24</f>
        <v>40</v>
      </c>
    </row>
    <row r="25" spans="1:7" x14ac:dyDescent="0.2">
      <c r="A25" s="12"/>
      <c r="B25" s="2" t="s">
        <v>15</v>
      </c>
      <c r="C25" s="2"/>
      <c r="D25" s="6">
        <v>1</v>
      </c>
      <c r="E25" s="3" t="str">
        <f>VLOOKUP(B25,Produits!A:G,3,FALSE)</f>
        <v>Kilogramme</v>
      </c>
      <c r="F25" s="134">
        <f>VLOOKUP(B25,Produits!A:G,7,FALSE)</f>
        <v>9.58</v>
      </c>
      <c r="G25" s="104">
        <f t="shared" ref="G25:G27" si="2">F25*D25</f>
        <v>9.58</v>
      </c>
    </row>
    <row r="26" spans="1:7" x14ac:dyDescent="0.2">
      <c r="A26" s="12"/>
      <c r="B26" s="2" t="s">
        <v>10</v>
      </c>
      <c r="C26" s="2"/>
      <c r="D26" s="6">
        <v>0.01</v>
      </c>
      <c r="E26" s="3" t="str">
        <f>VLOOKUP(B26,Produits!A:G,3,FALSE)</f>
        <v>Kilogramme</v>
      </c>
      <c r="F26" s="134">
        <f>VLOOKUP(B26,Produits!A:G,7,FALSE)</f>
        <v>1.1000000000000001</v>
      </c>
      <c r="G26" s="104">
        <f t="shared" si="2"/>
        <v>1.1000000000000001E-2</v>
      </c>
    </row>
    <row r="27" spans="1:7" x14ac:dyDescent="0.2">
      <c r="A27" s="12"/>
      <c r="B27" s="2" t="s">
        <v>28</v>
      </c>
      <c r="C27" s="2"/>
      <c r="D27" s="6">
        <v>0.01</v>
      </c>
      <c r="E27" s="3" t="str">
        <f>VLOOKUP(B27,Produits!A:G,3,FALSE)</f>
        <v>Kilogramme</v>
      </c>
      <c r="F27" s="134">
        <f>VLOOKUP(B27,Produits!A:G,7,FALSE)</f>
        <v>114.41176470588235</v>
      </c>
      <c r="G27" s="104">
        <f t="shared" si="2"/>
        <v>1.1441176470588235</v>
      </c>
    </row>
    <row r="28" spans="1:7" ht="17" x14ac:dyDescent="0.2">
      <c r="A28" s="12"/>
      <c r="B28" s="90" t="s">
        <v>86</v>
      </c>
      <c r="C28" s="90"/>
      <c r="D28" s="103"/>
      <c r="E28" s="94"/>
      <c r="F28" s="94"/>
      <c r="G28" s="104">
        <f>SUM(G24:G27)</f>
        <v>50.735117647058821</v>
      </c>
    </row>
    <row r="29" spans="1:7" x14ac:dyDescent="0.2">
      <c r="A29" s="12"/>
      <c r="B29" s="89" t="s">
        <v>138</v>
      </c>
      <c r="C29" s="89"/>
      <c r="D29" s="6">
        <v>400</v>
      </c>
      <c r="E29" s="12"/>
      <c r="F29" s="12"/>
      <c r="G29" s="12"/>
    </row>
    <row r="30" spans="1:7" s="15" customFormat="1" x14ac:dyDescent="0.2">
      <c r="A30" s="12"/>
      <c r="B30" s="89" t="s">
        <v>129</v>
      </c>
      <c r="C30" s="89"/>
      <c r="D30" s="104">
        <f>G28/D29</f>
        <v>0.12683779411764706</v>
      </c>
      <c r="E30" s="12"/>
      <c r="F30" s="12"/>
      <c r="G30" s="12"/>
    </row>
    <row r="32" spans="1:7" s="19" customFormat="1" x14ac:dyDescent="0.2">
      <c r="A32" s="12" t="s">
        <v>115</v>
      </c>
      <c r="B32" s="12" t="s">
        <v>408</v>
      </c>
      <c r="C32" s="12"/>
      <c r="D32" s="13"/>
      <c r="E32" s="12"/>
      <c r="F32" s="14"/>
      <c r="G32" s="14"/>
    </row>
    <row r="33" spans="1:7" ht="17" x14ac:dyDescent="0.2">
      <c r="A33" s="12"/>
      <c r="B33" s="12"/>
      <c r="C33" s="12"/>
      <c r="D33" s="87" t="s">
        <v>82</v>
      </c>
      <c r="E33" s="87" t="s">
        <v>83</v>
      </c>
      <c r="F33" s="87" t="s">
        <v>84</v>
      </c>
      <c r="G33" s="87" t="s">
        <v>85</v>
      </c>
    </row>
    <row r="34" spans="1:7" x14ac:dyDescent="0.2">
      <c r="A34" s="12"/>
      <c r="B34" s="2" t="s">
        <v>407</v>
      </c>
      <c r="C34" s="2"/>
      <c r="D34" s="6">
        <v>12</v>
      </c>
      <c r="E34" s="3" t="str">
        <f>VLOOKUP(B34,Produits!A:G,3,FALSE)</f>
        <v>Kilogramme</v>
      </c>
      <c r="F34" s="134">
        <f>VLOOKUP(B34,Produits!A:G,7,FALSE)</f>
        <v>3.3333333333333335</v>
      </c>
      <c r="G34" s="104">
        <f>F34*D34</f>
        <v>40</v>
      </c>
    </row>
    <row r="35" spans="1:7" x14ac:dyDescent="0.2">
      <c r="A35" s="12"/>
      <c r="B35" s="2" t="s">
        <v>15</v>
      </c>
      <c r="C35" s="2"/>
      <c r="D35" s="6">
        <v>1</v>
      </c>
      <c r="E35" s="3" t="str">
        <f>VLOOKUP(B35,Produits!A:G,3,FALSE)</f>
        <v>Kilogramme</v>
      </c>
      <c r="F35" s="134">
        <f>VLOOKUP(B35,Produits!A:G,7,FALSE)</f>
        <v>9.58</v>
      </c>
      <c r="G35" s="104">
        <f t="shared" ref="G35:G37" si="3">F35*D35</f>
        <v>9.58</v>
      </c>
    </row>
    <row r="36" spans="1:7" x14ac:dyDescent="0.2">
      <c r="A36" s="12"/>
      <c r="B36" s="2" t="s">
        <v>10</v>
      </c>
      <c r="C36" s="2"/>
      <c r="D36" s="6">
        <v>0.01</v>
      </c>
      <c r="E36" s="3" t="str">
        <f>VLOOKUP(B36,Produits!A:G,3,FALSE)</f>
        <v>Kilogramme</v>
      </c>
      <c r="F36" s="134">
        <f>VLOOKUP(B36,Produits!A:G,7,FALSE)</f>
        <v>1.1000000000000001</v>
      </c>
      <c r="G36" s="104">
        <f t="shared" si="3"/>
        <v>1.1000000000000001E-2</v>
      </c>
    </row>
    <row r="37" spans="1:7" x14ac:dyDescent="0.2">
      <c r="A37" s="12"/>
      <c r="B37" s="2" t="s">
        <v>28</v>
      </c>
      <c r="C37" s="2"/>
      <c r="D37" s="6">
        <v>0.01</v>
      </c>
      <c r="E37" s="3" t="str">
        <f>VLOOKUP(B37,Produits!A:G,3,FALSE)</f>
        <v>Kilogramme</v>
      </c>
      <c r="F37" s="134">
        <f>VLOOKUP(B37,Produits!A:G,7,FALSE)</f>
        <v>114.41176470588235</v>
      </c>
      <c r="G37" s="104">
        <f t="shared" si="3"/>
        <v>1.1441176470588235</v>
      </c>
    </row>
    <row r="38" spans="1:7" ht="17" x14ac:dyDescent="0.2">
      <c r="A38" s="12"/>
      <c r="B38" s="90" t="s">
        <v>86</v>
      </c>
      <c r="C38" s="90"/>
      <c r="D38" s="103"/>
      <c r="E38" s="94"/>
      <c r="F38" s="94"/>
      <c r="G38" s="104">
        <f>SUM(G34:G37)</f>
        <v>50.735117647058821</v>
      </c>
    </row>
    <row r="39" spans="1:7" x14ac:dyDescent="0.2">
      <c r="A39" s="12"/>
      <c r="B39" s="89" t="s">
        <v>138</v>
      </c>
      <c r="C39" s="89"/>
      <c r="D39" s="6">
        <v>400</v>
      </c>
      <c r="E39" s="12"/>
      <c r="F39" s="12"/>
      <c r="G39" s="12"/>
    </row>
    <row r="40" spans="1:7" s="15" customFormat="1" x14ac:dyDescent="0.2">
      <c r="A40" s="12"/>
      <c r="B40" s="89" t="s">
        <v>129</v>
      </c>
      <c r="C40" s="89"/>
      <c r="D40" s="104">
        <f>G38/D39</f>
        <v>0.12683779411764706</v>
      </c>
      <c r="E40" s="12"/>
      <c r="F40" s="12"/>
      <c r="G40" s="12"/>
    </row>
    <row r="42" spans="1:7" s="19" customFormat="1" x14ac:dyDescent="0.2">
      <c r="A42" s="12" t="s">
        <v>115</v>
      </c>
      <c r="B42" s="12" t="s">
        <v>409</v>
      </c>
      <c r="C42" s="12"/>
      <c r="D42" s="13"/>
      <c r="E42" s="12"/>
      <c r="F42" s="14"/>
      <c r="G42" s="14"/>
    </row>
    <row r="43" spans="1:7" ht="17" x14ac:dyDescent="0.2">
      <c r="A43" s="12"/>
      <c r="B43" s="12"/>
      <c r="C43" s="12"/>
      <c r="D43" s="87" t="s">
        <v>82</v>
      </c>
      <c r="E43" s="87" t="s">
        <v>83</v>
      </c>
      <c r="F43" s="87" t="s">
        <v>84</v>
      </c>
      <c r="G43" s="87" t="s">
        <v>85</v>
      </c>
    </row>
    <row r="44" spans="1:7" x14ac:dyDescent="0.2">
      <c r="A44" s="12"/>
      <c r="B44" s="2" t="s">
        <v>414</v>
      </c>
      <c r="C44" s="2"/>
      <c r="D44" s="6">
        <v>10</v>
      </c>
      <c r="E44" s="3" t="str">
        <f>VLOOKUP(B44,Produits!A:G,3,FALSE)</f>
        <v>Pièce</v>
      </c>
      <c r="F44" s="134">
        <f>VLOOKUP(B44,Produits!A:G,7,FALSE)</f>
        <v>2</v>
      </c>
      <c r="G44" s="104">
        <f>F44*D44</f>
        <v>20</v>
      </c>
    </row>
    <row r="45" spans="1:7" x14ac:dyDescent="0.2">
      <c r="A45" s="12"/>
      <c r="B45" s="2" t="s">
        <v>9</v>
      </c>
      <c r="C45" s="2"/>
      <c r="D45" s="6">
        <v>12</v>
      </c>
      <c r="E45" s="3" t="str">
        <f>VLOOKUP(B45,Produits!A:G,3,FALSE)</f>
        <v>Pièce</v>
      </c>
      <c r="F45" s="134">
        <f>VLOOKUP(B45,Produits!A:G,7,FALSE)</f>
        <v>0.35749999999999998</v>
      </c>
      <c r="G45" s="104">
        <f t="shared" ref="G45:G47" si="4">F45*D45</f>
        <v>4.29</v>
      </c>
    </row>
    <row r="46" spans="1:7" x14ac:dyDescent="0.2">
      <c r="A46" s="12"/>
      <c r="B46" s="2" t="s">
        <v>10</v>
      </c>
      <c r="C46" s="2"/>
      <c r="D46" s="6">
        <v>0.01</v>
      </c>
      <c r="E46" s="3" t="str">
        <f>VLOOKUP(B46,Produits!A:G,3,FALSE)</f>
        <v>Kilogramme</v>
      </c>
      <c r="F46" s="134">
        <f>VLOOKUP(B46,Produits!A:G,7,FALSE)</f>
        <v>1.1000000000000001</v>
      </c>
      <c r="G46" s="104">
        <f t="shared" si="4"/>
        <v>1.1000000000000001E-2</v>
      </c>
    </row>
    <row r="47" spans="1:7" x14ac:dyDescent="0.2">
      <c r="A47" s="12"/>
      <c r="B47" s="2" t="s">
        <v>28</v>
      </c>
      <c r="C47" s="2"/>
      <c r="D47" s="6">
        <v>0.01</v>
      </c>
      <c r="E47" s="3" t="str">
        <f>VLOOKUP(B47,Produits!A:G,3,FALSE)</f>
        <v>Kilogramme</v>
      </c>
      <c r="F47" s="134">
        <f>VLOOKUP(B47,Produits!A:G,7,FALSE)</f>
        <v>114.41176470588235</v>
      </c>
      <c r="G47" s="104">
        <f t="shared" si="4"/>
        <v>1.1441176470588235</v>
      </c>
    </row>
    <row r="48" spans="1:7" ht="17" x14ac:dyDescent="0.2">
      <c r="A48" s="12"/>
      <c r="B48" s="90" t="s">
        <v>86</v>
      </c>
      <c r="C48" s="90"/>
      <c r="D48" s="103"/>
      <c r="E48" s="94"/>
      <c r="F48" s="94"/>
      <c r="G48" s="104">
        <f>SUM(G44:G47)</f>
        <v>25.445117647058822</v>
      </c>
    </row>
    <row r="49" spans="1:7" x14ac:dyDescent="0.2">
      <c r="A49" s="12"/>
      <c r="B49" s="89" t="s">
        <v>138</v>
      </c>
      <c r="C49" s="89"/>
      <c r="D49" s="6">
        <v>10</v>
      </c>
      <c r="E49" s="12"/>
      <c r="F49" s="12"/>
      <c r="G49" s="12"/>
    </row>
    <row r="50" spans="1:7" s="15" customFormat="1" x14ac:dyDescent="0.2">
      <c r="A50" s="12"/>
      <c r="B50" s="89" t="s">
        <v>129</v>
      </c>
      <c r="C50" s="89"/>
      <c r="D50" s="104">
        <f>G48/D49</f>
        <v>2.5445117647058821</v>
      </c>
      <c r="E50" s="12"/>
      <c r="F50" s="12"/>
      <c r="G50" s="12"/>
    </row>
    <row r="52" spans="1:7" s="19" customFormat="1" x14ac:dyDescent="0.2">
      <c r="A52" s="12" t="s">
        <v>115</v>
      </c>
      <c r="B52" s="12" t="s">
        <v>420</v>
      </c>
      <c r="C52" s="12"/>
      <c r="D52" s="13"/>
      <c r="E52" s="12"/>
      <c r="F52" s="14"/>
      <c r="G52" s="14"/>
    </row>
    <row r="53" spans="1:7" ht="17" x14ac:dyDescent="0.2">
      <c r="A53" s="12"/>
      <c r="B53" s="12"/>
      <c r="C53" s="12"/>
      <c r="D53" s="87" t="s">
        <v>82</v>
      </c>
      <c r="E53" s="87" t="s">
        <v>83</v>
      </c>
      <c r="F53" s="87" t="s">
        <v>84</v>
      </c>
      <c r="G53" s="87" t="s">
        <v>85</v>
      </c>
    </row>
    <row r="54" spans="1:7" x14ac:dyDescent="0.2">
      <c r="A54" s="12"/>
      <c r="B54" s="2" t="s">
        <v>421</v>
      </c>
      <c r="C54" s="2"/>
      <c r="D54" s="6">
        <v>2.5</v>
      </c>
      <c r="E54" s="3" t="str">
        <f>VLOOKUP(B54,Produits!A:G,3,FALSE)</f>
        <v>Kilogramme</v>
      </c>
      <c r="F54" s="134">
        <f>VLOOKUP(B54,Produits!A:G,7,FALSE)</f>
        <v>2.8</v>
      </c>
      <c r="G54" s="104">
        <f>F54*D54</f>
        <v>7</v>
      </c>
    </row>
    <row r="55" spans="1:7" x14ac:dyDescent="0.2">
      <c r="A55" s="12"/>
      <c r="B55" s="2" t="s">
        <v>106</v>
      </c>
      <c r="C55" s="2"/>
      <c r="D55" s="6">
        <v>0.75</v>
      </c>
      <c r="E55" s="3" t="str">
        <f>VLOOKUP(B55,Produits!A:G,3,FALSE)</f>
        <v>Litre</v>
      </c>
      <c r="F55" s="134">
        <f>VLOOKUP(B55,Produits!A:G,7,FALSE)</f>
        <v>4.49</v>
      </c>
      <c r="G55" s="104">
        <f t="shared" ref="G55:G57" si="5">F55*D55</f>
        <v>3.3675000000000002</v>
      </c>
    </row>
    <row r="56" spans="1:7" x14ac:dyDescent="0.2">
      <c r="A56" s="12"/>
      <c r="B56" s="2" t="s">
        <v>10</v>
      </c>
      <c r="C56" s="2"/>
      <c r="D56" s="6">
        <v>0.01</v>
      </c>
      <c r="E56" s="3" t="str">
        <f>VLOOKUP(B56,Produits!A:G,3,FALSE)</f>
        <v>Kilogramme</v>
      </c>
      <c r="F56" s="134">
        <f>VLOOKUP(B56,Produits!A:G,7,FALSE)</f>
        <v>1.1000000000000001</v>
      </c>
      <c r="G56" s="104">
        <f t="shared" si="5"/>
        <v>1.1000000000000001E-2</v>
      </c>
    </row>
    <row r="57" spans="1:7" x14ac:dyDescent="0.2">
      <c r="A57" s="12"/>
      <c r="B57" s="2" t="s">
        <v>28</v>
      </c>
      <c r="C57" s="2"/>
      <c r="D57" s="6">
        <v>0.01</v>
      </c>
      <c r="E57" s="3" t="str">
        <f>VLOOKUP(B57,Produits!A:G,3,FALSE)</f>
        <v>Kilogramme</v>
      </c>
      <c r="F57" s="134">
        <f>VLOOKUP(B57,Produits!A:G,7,FALSE)</f>
        <v>114.41176470588235</v>
      </c>
      <c r="G57" s="104">
        <f t="shared" si="5"/>
        <v>1.1441176470588235</v>
      </c>
    </row>
    <row r="58" spans="1:7" ht="17" x14ac:dyDescent="0.2">
      <c r="A58" s="12"/>
      <c r="B58" s="90" t="s">
        <v>86</v>
      </c>
      <c r="C58" s="90"/>
      <c r="D58" s="103"/>
      <c r="E58" s="94"/>
      <c r="F58" s="94"/>
      <c r="G58" s="104">
        <f>SUM(G54:G57)</f>
        <v>11.522617647058823</v>
      </c>
    </row>
    <row r="59" spans="1:7" x14ac:dyDescent="0.2">
      <c r="A59" s="12"/>
      <c r="B59" s="89" t="s">
        <v>138</v>
      </c>
      <c r="C59" s="89"/>
      <c r="D59" s="6">
        <v>12</v>
      </c>
      <c r="E59" s="12"/>
      <c r="F59" s="12"/>
      <c r="G59" s="12"/>
    </row>
    <row r="60" spans="1:7" s="15" customFormat="1" x14ac:dyDescent="0.2">
      <c r="A60" s="12"/>
      <c r="B60" s="89" t="s">
        <v>129</v>
      </c>
      <c r="C60" s="89"/>
      <c r="D60" s="104">
        <f>G58/D59</f>
        <v>0.9602181372549019</v>
      </c>
      <c r="E60" s="12"/>
      <c r="F60" s="12"/>
      <c r="G60" s="12"/>
    </row>
    <row r="62" spans="1:7" s="19" customFormat="1" x14ac:dyDescent="0.2">
      <c r="A62" s="12" t="s">
        <v>115</v>
      </c>
      <c r="B62" s="12" t="s">
        <v>423</v>
      </c>
      <c r="C62" s="12"/>
      <c r="D62" s="13"/>
      <c r="E62" s="12"/>
      <c r="F62" s="14"/>
      <c r="G62" s="14"/>
    </row>
    <row r="63" spans="1:7" ht="17" x14ac:dyDescent="0.2">
      <c r="A63" s="12"/>
      <c r="B63" s="12"/>
      <c r="C63" s="12"/>
      <c r="D63" s="87" t="s">
        <v>82</v>
      </c>
      <c r="E63" s="87" t="s">
        <v>83</v>
      </c>
      <c r="F63" s="87" t="s">
        <v>84</v>
      </c>
      <c r="G63" s="87" t="s">
        <v>85</v>
      </c>
    </row>
    <row r="64" spans="1:7" x14ac:dyDescent="0.2">
      <c r="A64" s="12"/>
      <c r="B64" s="2" t="s">
        <v>421</v>
      </c>
      <c r="C64" s="2"/>
      <c r="D64" s="6">
        <v>2.5</v>
      </c>
      <c r="E64" s="3" t="str">
        <f>VLOOKUP(B64,Produits!A:G,3,FALSE)</f>
        <v>Kilogramme</v>
      </c>
      <c r="F64" s="134">
        <f>VLOOKUP(B64,Produits!A:G,7,FALSE)</f>
        <v>2.8</v>
      </c>
      <c r="G64" s="104">
        <f>F64*D64</f>
        <v>7</v>
      </c>
    </row>
    <row r="65" spans="1:7" x14ac:dyDescent="0.2">
      <c r="A65" s="12"/>
      <c r="B65" s="2" t="s">
        <v>106</v>
      </c>
      <c r="C65" s="2"/>
      <c r="D65" s="6">
        <v>0.75</v>
      </c>
      <c r="E65" s="3" t="str">
        <f>VLOOKUP(B65,Produits!A:G,3,FALSE)</f>
        <v>Litre</v>
      </c>
      <c r="F65" s="134">
        <f>VLOOKUP(B65,Produits!A:G,7,FALSE)</f>
        <v>4.49</v>
      </c>
      <c r="G65" s="104">
        <f t="shared" ref="G65:G67" si="6">F65*D65</f>
        <v>3.3675000000000002</v>
      </c>
    </row>
    <row r="66" spans="1:7" x14ac:dyDescent="0.2">
      <c r="A66" s="12"/>
      <c r="B66" s="2" t="s">
        <v>10</v>
      </c>
      <c r="C66" s="2"/>
      <c r="D66" s="6">
        <v>0.01</v>
      </c>
      <c r="E66" s="3" t="str">
        <f>VLOOKUP(B66,Produits!A:G,3,FALSE)</f>
        <v>Kilogramme</v>
      </c>
      <c r="F66" s="134">
        <f>VLOOKUP(B66,Produits!A:G,7,FALSE)</f>
        <v>1.1000000000000001</v>
      </c>
      <c r="G66" s="104">
        <f t="shared" si="6"/>
        <v>1.1000000000000001E-2</v>
      </c>
    </row>
    <row r="67" spans="1:7" x14ac:dyDescent="0.2">
      <c r="A67" s="12"/>
      <c r="B67" s="2" t="s">
        <v>28</v>
      </c>
      <c r="C67" s="2"/>
      <c r="D67" s="6">
        <v>0.01</v>
      </c>
      <c r="E67" s="3" t="str">
        <f>VLOOKUP(B67,Produits!A:G,3,FALSE)</f>
        <v>Kilogramme</v>
      </c>
      <c r="F67" s="134">
        <f>VLOOKUP(B67,Produits!A:G,7,FALSE)</f>
        <v>114.41176470588235</v>
      </c>
      <c r="G67" s="104">
        <f t="shared" si="6"/>
        <v>1.1441176470588235</v>
      </c>
    </row>
    <row r="68" spans="1:7" ht="17" x14ac:dyDescent="0.2">
      <c r="A68" s="12"/>
      <c r="B68" s="90" t="s">
        <v>86</v>
      </c>
      <c r="C68" s="90"/>
      <c r="D68" s="103"/>
      <c r="E68" s="94"/>
      <c r="F68" s="94"/>
      <c r="G68" s="104">
        <f>SUM(G64:G67)</f>
        <v>11.522617647058823</v>
      </c>
    </row>
    <row r="69" spans="1:7" x14ac:dyDescent="0.2">
      <c r="A69" s="12"/>
      <c r="B69" s="89" t="s">
        <v>138</v>
      </c>
      <c r="C69" s="89"/>
      <c r="D69" s="6">
        <v>12</v>
      </c>
      <c r="E69" s="12"/>
      <c r="F69" s="12"/>
      <c r="G69" s="12"/>
    </row>
    <row r="70" spans="1:7" s="15" customFormat="1" x14ac:dyDescent="0.2">
      <c r="A70" s="12"/>
      <c r="B70" s="89" t="s">
        <v>129</v>
      </c>
      <c r="C70" s="89"/>
      <c r="D70" s="104">
        <f>G68/D69</f>
        <v>0.9602181372549019</v>
      </c>
      <c r="E70" s="12"/>
      <c r="F70" s="12"/>
      <c r="G70" s="12"/>
    </row>
    <row r="72" spans="1:7" s="19" customFormat="1" x14ac:dyDescent="0.2">
      <c r="A72" s="12" t="s">
        <v>115</v>
      </c>
      <c r="B72" s="12" t="s">
        <v>422</v>
      </c>
      <c r="C72" s="12"/>
      <c r="D72" s="13"/>
      <c r="E72" s="12"/>
      <c r="F72" s="14"/>
      <c r="G72" s="14"/>
    </row>
    <row r="73" spans="1:7" ht="17" x14ac:dyDescent="0.2">
      <c r="A73" s="12"/>
      <c r="B73" s="12"/>
      <c r="C73" s="12"/>
      <c r="D73" s="87" t="s">
        <v>82</v>
      </c>
      <c r="E73" s="87" t="s">
        <v>83</v>
      </c>
      <c r="F73" s="87" t="s">
        <v>84</v>
      </c>
      <c r="G73" s="87" t="s">
        <v>85</v>
      </c>
    </row>
    <row r="74" spans="1:7" x14ac:dyDescent="0.2">
      <c r="A74" s="12"/>
      <c r="B74" s="2" t="s">
        <v>421</v>
      </c>
      <c r="C74" s="2"/>
      <c r="D74" s="6">
        <v>2.5</v>
      </c>
      <c r="E74" s="3" t="str">
        <f>VLOOKUP(B74,Produits!A:G,3,FALSE)</f>
        <v>Kilogramme</v>
      </c>
      <c r="F74" s="134">
        <f>VLOOKUP(B74,Produits!A:G,7,FALSE)</f>
        <v>2.8</v>
      </c>
      <c r="G74" s="104">
        <f>F74*D74</f>
        <v>7</v>
      </c>
    </row>
    <row r="75" spans="1:7" x14ac:dyDescent="0.2">
      <c r="A75" s="12"/>
      <c r="B75" s="2" t="s">
        <v>106</v>
      </c>
      <c r="C75" s="2"/>
      <c r="D75" s="6">
        <v>0.75</v>
      </c>
      <c r="E75" s="3" t="str">
        <f>VLOOKUP(B75,Produits!A:G,3,FALSE)</f>
        <v>Litre</v>
      </c>
      <c r="F75" s="134">
        <f>VLOOKUP(B75,Produits!A:G,7,FALSE)</f>
        <v>4.49</v>
      </c>
      <c r="G75" s="104">
        <f t="shared" ref="G75:G77" si="7">F75*D75</f>
        <v>3.3675000000000002</v>
      </c>
    </row>
    <row r="76" spans="1:7" x14ac:dyDescent="0.2">
      <c r="A76" s="12"/>
      <c r="B76" s="2" t="s">
        <v>10</v>
      </c>
      <c r="C76" s="2"/>
      <c r="D76" s="6">
        <v>0.01</v>
      </c>
      <c r="E76" s="3" t="str">
        <f>VLOOKUP(B76,Produits!A:G,3,FALSE)</f>
        <v>Kilogramme</v>
      </c>
      <c r="F76" s="134">
        <f>VLOOKUP(B76,Produits!A:G,7,FALSE)</f>
        <v>1.1000000000000001</v>
      </c>
      <c r="G76" s="104">
        <f t="shared" si="7"/>
        <v>1.1000000000000001E-2</v>
      </c>
    </row>
    <row r="77" spans="1:7" x14ac:dyDescent="0.2">
      <c r="A77" s="12"/>
      <c r="B77" s="2" t="s">
        <v>28</v>
      </c>
      <c r="C77" s="2"/>
      <c r="D77" s="6">
        <v>0.01</v>
      </c>
      <c r="E77" s="3" t="str">
        <f>VLOOKUP(B77,Produits!A:G,3,FALSE)</f>
        <v>Kilogramme</v>
      </c>
      <c r="F77" s="134">
        <f>VLOOKUP(B77,Produits!A:G,7,FALSE)</f>
        <v>114.41176470588235</v>
      </c>
      <c r="G77" s="104">
        <f t="shared" si="7"/>
        <v>1.1441176470588235</v>
      </c>
    </row>
    <row r="78" spans="1:7" ht="17" x14ac:dyDescent="0.2">
      <c r="A78" s="12"/>
      <c r="B78" s="90" t="s">
        <v>86</v>
      </c>
      <c r="C78" s="90"/>
      <c r="D78" s="103"/>
      <c r="E78" s="94"/>
      <c r="F78" s="94"/>
      <c r="G78" s="104">
        <f>SUM(G74:G77)</f>
        <v>11.522617647058823</v>
      </c>
    </row>
    <row r="79" spans="1:7" x14ac:dyDescent="0.2">
      <c r="A79" s="12"/>
      <c r="B79" s="89" t="s">
        <v>138</v>
      </c>
      <c r="C79" s="89"/>
      <c r="D79" s="6">
        <v>12</v>
      </c>
      <c r="E79" s="12"/>
      <c r="F79" s="12"/>
      <c r="G79" s="12"/>
    </row>
    <row r="80" spans="1:7" s="15" customFormat="1" x14ac:dyDescent="0.2">
      <c r="A80" s="12"/>
      <c r="B80" s="89" t="s">
        <v>129</v>
      </c>
      <c r="C80" s="89"/>
      <c r="D80" s="104">
        <f>G78/D79</f>
        <v>0.9602181372549019</v>
      </c>
      <c r="E80" s="12"/>
      <c r="F80" s="12"/>
      <c r="G80" s="12"/>
    </row>
    <row r="82" spans="1:7" s="19" customFormat="1" x14ac:dyDescent="0.2">
      <c r="A82" s="12" t="s">
        <v>115</v>
      </c>
      <c r="B82" s="12" t="s">
        <v>410</v>
      </c>
      <c r="C82" s="12"/>
      <c r="D82" s="13"/>
      <c r="E82" s="12"/>
      <c r="F82" s="14"/>
      <c r="G82" s="14"/>
    </row>
    <row r="83" spans="1:7" ht="17" x14ac:dyDescent="0.2">
      <c r="A83" s="12"/>
      <c r="B83" s="12"/>
      <c r="C83" s="12"/>
      <c r="D83" s="87" t="s">
        <v>82</v>
      </c>
      <c r="E83" s="87" t="s">
        <v>83</v>
      </c>
      <c r="F83" s="87" t="s">
        <v>84</v>
      </c>
      <c r="G83" s="87" t="s">
        <v>85</v>
      </c>
    </row>
    <row r="84" spans="1:7" x14ac:dyDescent="0.2">
      <c r="A84" s="12"/>
      <c r="B84" s="2" t="s">
        <v>54</v>
      </c>
      <c r="C84" s="2"/>
      <c r="D84" s="6">
        <v>7</v>
      </c>
      <c r="E84" s="3" t="str">
        <f>VLOOKUP(B84,Produits!A:G,3,FALSE)</f>
        <v>Pièce</v>
      </c>
      <c r="F84" s="134">
        <f>VLOOKUP(B84,Produits!A:G,7,FALSE)</f>
        <v>0.9</v>
      </c>
      <c r="G84" s="104">
        <f>F84*D84</f>
        <v>6.3</v>
      </c>
    </row>
    <row r="85" spans="1:7" ht="17" x14ac:dyDescent="0.2">
      <c r="A85" s="12"/>
      <c r="B85" s="90" t="s">
        <v>86</v>
      </c>
      <c r="C85" s="90"/>
      <c r="D85" s="103"/>
      <c r="E85" s="94"/>
      <c r="F85" s="94"/>
      <c r="G85" s="104">
        <f>SUM(G84:G84)</f>
        <v>6.3</v>
      </c>
    </row>
    <row r="86" spans="1:7" x14ac:dyDescent="0.2">
      <c r="A86" s="12"/>
      <c r="B86" s="89" t="s">
        <v>138</v>
      </c>
      <c r="C86" s="89"/>
      <c r="D86" s="6">
        <v>10</v>
      </c>
      <c r="E86" s="12"/>
      <c r="F86" s="12"/>
      <c r="G86" s="12"/>
    </row>
    <row r="87" spans="1:7" s="15" customFormat="1" x14ac:dyDescent="0.2">
      <c r="A87" s="12"/>
      <c r="B87" s="89" t="s">
        <v>129</v>
      </c>
      <c r="C87" s="89"/>
      <c r="D87" s="104">
        <f>G85/D86</f>
        <v>0.63</v>
      </c>
      <c r="E87" s="12"/>
      <c r="F87" s="12"/>
      <c r="G87" s="12"/>
    </row>
    <row r="89" spans="1:7" s="19" customFormat="1" x14ac:dyDescent="0.2">
      <c r="A89" s="12" t="s">
        <v>115</v>
      </c>
      <c r="B89" s="12" t="s">
        <v>411</v>
      </c>
      <c r="C89" s="12"/>
      <c r="D89" s="13"/>
      <c r="E89" s="12"/>
      <c r="F89" s="14"/>
      <c r="G89" s="14"/>
    </row>
    <row r="90" spans="1:7" ht="17" x14ac:dyDescent="0.2">
      <c r="A90" s="12"/>
      <c r="B90" s="12"/>
      <c r="C90" s="12"/>
      <c r="D90" s="87" t="s">
        <v>82</v>
      </c>
      <c r="E90" s="87" t="s">
        <v>83</v>
      </c>
      <c r="F90" s="87" t="s">
        <v>84</v>
      </c>
      <c r="G90" s="87" t="s">
        <v>85</v>
      </c>
    </row>
    <row r="91" spans="1:7" x14ac:dyDescent="0.2">
      <c r="A91" s="12"/>
      <c r="B91" s="2" t="s">
        <v>407</v>
      </c>
      <c r="C91" s="2"/>
      <c r="D91" s="6">
        <v>12</v>
      </c>
      <c r="E91" s="3" t="str">
        <f>VLOOKUP(B91,Produits!A:G,3,FALSE)</f>
        <v>Kilogramme</v>
      </c>
      <c r="F91" s="134">
        <f>VLOOKUP(B91,Produits!A:G,7,FALSE)</f>
        <v>3.3333333333333335</v>
      </c>
      <c r="G91" s="104">
        <f>F91*D91</f>
        <v>40</v>
      </c>
    </row>
    <row r="92" spans="1:7" x14ac:dyDescent="0.2">
      <c r="A92" s="12"/>
      <c r="B92" s="2" t="s">
        <v>15</v>
      </c>
      <c r="C92" s="2"/>
      <c r="D92" s="6">
        <v>1</v>
      </c>
      <c r="E92" s="3" t="str">
        <f>VLOOKUP(B92,Produits!A:G,3,FALSE)</f>
        <v>Kilogramme</v>
      </c>
      <c r="F92" s="134">
        <f>VLOOKUP(B92,Produits!A:G,7,FALSE)</f>
        <v>9.58</v>
      </c>
      <c r="G92" s="104">
        <f t="shared" ref="G92:G94" si="8">F92*D92</f>
        <v>9.58</v>
      </c>
    </row>
    <row r="93" spans="1:7" x14ac:dyDescent="0.2">
      <c r="A93" s="12"/>
      <c r="B93" s="2" t="s">
        <v>10</v>
      </c>
      <c r="C93" s="2"/>
      <c r="D93" s="6">
        <v>0.01</v>
      </c>
      <c r="E93" s="3" t="str">
        <f>VLOOKUP(B93,Produits!A:G,3,FALSE)</f>
        <v>Kilogramme</v>
      </c>
      <c r="F93" s="134">
        <f>VLOOKUP(B93,Produits!A:G,7,FALSE)</f>
        <v>1.1000000000000001</v>
      </c>
      <c r="G93" s="104">
        <f t="shared" si="8"/>
        <v>1.1000000000000001E-2</v>
      </c>
    </row>
    <row r="94" spans="1:7" x14ac:dyDescent="0.2">
      <c r="A94" s="12"/>
      <c r="B94" s="2" t="s">
        <v>28</v>
      </c>
      <c r="C94" s="2"/>
      <c r="D94" s="6">
        <v>0.01</v>
      </c>
      <c r="E94" s="3" t="str">
        <f>VLOOKUP(B94,Produits!A:G,3,FALSE)</f>
        <v>Kilogramme</v>
      </c>
      <c r="F94" s="134">
        <f>VLOOKUP(B94,Produits!A:G,7,FALSE)</f>
        <v>114.41176470588235</v>
      </c>
      <c r="G94" s="104">
        <f t="shared" si="8"/>
        <v>1.1441176470588235</v>
      </c>
    </row>
    <row r="95" spans="1:7" ht="17" x14ac:dyDescent="0.2">
      <c r="A95" s="12"/>
      <c r="B95" s="90" t="s">
        <v>86</v>
      </c>
      <c r="C95" s="90"/>
      <c r="D95" s="103"/>
      <c r="E95" s="94"/>
      <c r="F95" s="94"/>
      <c r="G95" s="104">
        <f>SUM(G91:G94)</f>
        <v>50.735117647058821</v>
      </c>
    </row>
    <row r="96" spans="1:7" x14ac:dyDescent="0.2">
      <c r="A96" s="12"/>
      <c r="B96" s="89" t="s">
        <v>138</v>
      </c>
      <c r="C96" s="89"/>
      <c r="D96" s="6">
        <v>400</v>
      </c>
      <c r="E96" s="12"/>
      <c r="F96" s="12"/>
      <c r="G96" s="12"/>
    </row>
    <row r="97" spans="1:7" s="15" customFormat="1" x14ac:dyDescent="0.2">
      <c r="A97" s="12"/>
      <c r="B97" s="89" t="s">
        <v>129</v>
      </c>
      <c r="C97" s="89"/>
      <c r="D97" s="104">
        <f>G95/D96</f>
        <v>0.12683779411764706</v>
      </c>
      <c r="E97" s="12"/>
      <c r="F97" s="12"/>
      <c r="G97" s="12"/>
    </row>
    <row r="99" spans="1:7" s="19" customFormat="1" x14ac:dyDescent="0.2">
      <c r="A99" s="12" t="s">
        <v>115</v>
      </c>
      <c r="B99" s="12" t="s">
        <v>412</v>
      </c>
      <c r="C99" s="12"/>
      <c r="D99" s="13"/>
      <c r="E99" s="12"/>
      <c r="F99" s="14"/>
      <c r="G99" s="14"/>
    </row>
    <row r="100" spans="1:7" ht="17" x14ac:dyDescent="0.2">
      <c r="A100" s="12"/>
      <c r="B100" s="12"/>
      <c r="C100" s="12"/>
      <c r="D100" s="87" t="s">
        <v>82</v>
      </c>
      <c r="E100" s="87" t="s">
        <v>83</v>
      </c>
      <c r="F100" s="87" t="s">
        <v>84</v>
      </c>
      <c r="G100" s="87" t="s">
        <v>85</v>
      </c>
    </row>
    <row r="101" spans="1:7" x14ac:dyDescent="0.2">
      <c r="A101" s="12"/>
      <c r="B101" s="2" t="s">
        <v>416</v>
      </c>
      <c r="C101" s="2"/>
      <c r="D101" s="6">
        <v>1</v>
      </c>
      <c r="E101" s="3" t="str">
        <f>VLOOKUP(B101,Produits!A:G,3,FALSE)</f>
        <v>Kilogramme</v>
      </c>
      <c r="F101" s="134">
        <f>VLOOKUP(B101,Produits!A:G,7,FALSE)</f>
        <v>5</v>
      </c>
      <c r="G101" s="104">
        <f>F101*D101</f>
        <v>5</v>
      </c>
    </row>
    <row r="102" spans="1:7" ht="17" x14ac:dyDescent="0.2">
      <c r="A102" s="12"/>
      <c r="B102" s="90" t="s">
        <v>86</v>
      </c>
      <c r="C102" s="90"/>
      <c r="D102" s="103"/>
      <c r="E102" s="94"/>
      <c r="F102" s="94"/>
      <c r="G102" s="104">
        <f>SUM(G101:G101)</f>
        <v>5</v>
      </c>
    </row>
    <row r="103" spans="1:7" x14ac:dyDescent="0.2">
      <c r="A103" s="12"/>
      <c r="B103" s="89" t="s">
        <v>138</v>
      </c>
      <c r="C103" s="89"/>
      <c r="D103" s="6">
        <v>1</v>
      </c>
      <c r="E103" s="12"/>
      <c r="F103" s="12"/>
      <c r="G103" s="12"/>
    </row>
    <row r="104" spans="1:7" s="15" customFormat="1" x14ac:dyDescent="0.2">
      <c r="A104" s="12"/>
      <c r="B104" s="89" t="s">
        <v>129</v>
      </c>
      <c r="C104" s="89"/>
      <c r="D104" s="104">
        <f>G102/D103</f>
        <v>5</v>
      </c>
      <c r="E104" s="12"/>
      <c r="F104" s="12"/>
      <c r="G104" s="12"/>
    </row>
    <row r="106" spans="1:7" s="19" customFormat="1" x14ac:dyDescent="0.2">
      <c r="A106" s="12" t="s">
        <v>115</v>
      </c>
      <c r="B106" s="12" t="s">
        <v>413</v>
      </c>
      <c r="C106" s="12"/>
      <c r="D106" s="13"/>
      <c r="E106" s="12"/>
      <c r="F106" s="14"/>
      <c r="G106" s="14"/>
    </row>
    <row r="107" spans="1:7" ht="17" x14ac:dyDescent="0.2">
      <c r="A107" s="12"/>
      <c r="B107" s="12"/>
      <c r="C107" s="12"/>
      <c r="D107" s="87" t="s">
        <v>82</v>
      </c>
      <c r="E107" s="87" t="s">
        <v>83</v>
      </c>
      <c r="F107" s="87" t="s">
        <v>84</v>
      </c>
      <c r="G107" s="87" t="s">
        <v>85</v>
      </c>
    </row>
    <row r="108" spans="1:7" x14ac:dyDescent="0.2">
      <c r="A108" s="12"/>
      <c r="B108" s="2" t="s">
        <v>418</v>
      </c>
      <c r="C108" s="2"/>
      <c r="D108" s="6">
        <v>12</v>
      </c>
      <c r="E108" s="3" t="str">
        <f>VLOOKUP(B108,Produits!A:G,3,FALSE)</f>
        <v>Kilogramme</v>
      </c>
      <c r="F108" s="134">
        <f>VLOOKUP(B108,Produits!A:G,7,FALSE)</f>
        <v>5</v>
      </c>
      <c r="G108" s="104">
        <f>F108*D108</f>
        <v>60</v>
      </c>
    </row>
    <row r="109" spans="1:7" ht="17" x14ac:dyDescent="0.2">
      <c r="A109" s="12"/>
      <c r="B109" s="90" t="s">
        <v>86</v>
      </c>
      <c r="C109" s="90"/>
      <c r="D109" s="103"/>
      <c r="E109" s="94"/>
      <c r="F109" s="94"/>
      <c r="G109" s="104">
        <f>SUM(G108:G108)</f>
        <v>60</v>
      </c>
    </row>
    <row r="110" spans="1:7" x14ac:dyDescent="0.2">
      <c r="A110" s="12"/>
      <c r="B110" s="89" t="s">
        <v>138</v>
      </c>
      <c r="C110" s="89"/>
      <c r="D110" s="6">
        <v>400</v>
      </c>
      <c r="E110" s="12"/>
      <c r="F110" s="12"/>
      <c r="G110" s="12"/>
    </row>
    <row r="111" spans="1:7" s="15" customFormat="1" x14ac:dyDescent="0.2">
      <c r="A111" s="12"/>
      <c r="B111" s="89" t="s">
        <v>129</v>
      </c>
      <c r="C111" s="89"/>
      <c r="D111" s="104">
        <f>G109/D110</f>
        <v>0.15</v>
      </c>
      <c r="E111" s="12"/>
      <c r="F111" s="12"/>
      <c r="G111" s="12"/>
    </row>
    <row r="113" spans="1:7" s="19" customFormat="1" x14ac:dyDescent="0.2">
      <c r="A113" s="12" t="s">
        <v>115</v>
      </c>
      <c r="B113" s="12" t="s">
        <v>419</v>
      </c>
      <c r="C113" s="12"/>
      <c r="D113" s="13"/>
      <c r="E113" s="12"/>
      <c r="F113" s="14"/>
      <c r="G113" s="14"/>
    </row>
    <row r="114" spans="1:7" ht="17" x14ac:dyDescent="0.2">
      <c r="A114" s="12"/>
      <c r="B114" s="12"/>
      <c r="C114" s="12"/>
      <c r="D114" s="87" t="s">
        <v>82</v>
      </c>
      <c r="E114" s="87" t="s">
        <v>83</v>
      </c>
      <c r="F114" s="87" t="s">
        <v>84</v>
      </c>
      <c r="G114" s="87" t="s">
        <v>85</v>
      </c>
    </row>
    <row r="115" spans="1:7" x14ac:dyDescent="0.2">
      <c r="A115" s="12"/>
      <c r="B115" s="2" t="s">
        <v>105</v>
      </c>
      <c r="C115" s="2"/>
      <c r="D115" s="6">
        <v>12</v>
      </c>
      <c r="E115" s="3" t="str">
        <f>VLOOKUP(B115,Produits!A:G,3,FALSE)</f>
        <v>Litre</v>
      </c>
      <c r="F115" s="134">
        <f>VLOOKUP(B115,Produits!A:G,7,FALSE)</f>
        <v>3.98</v>
      </c>
      <c r="G115" s="104">
        <f>F115*D115</f>
        <v>47.76</v>
      </c>
    </row>
    <row r="116" spans="1:7" x14ac:dyDescent="0.2">
      <c r="A116" s="12"/>
      <c r="B116" s="2" t="s">
        <v>418</v>
      </c>
      <c r="C116" s="2"/>
      <c r="D116" s="6">
        <v>12</v>
      </c>
      <c r="E116" s="3" t="str">
        <f>VLOOKUP(B116,Produits!A:G,3,FALSE)</f>
        <v>Kilogramme</v>
      </c>
      <c r="F116" s="134">
        <f>VLOOKUP(B116,Produits!A:G,7,FALSE)</f>
        <v>5</v>
      </c>
      <c r="G116" s="104">
        <f>F116*D116</f>
        <v>60</v>
      </c>
    </row>
    <row r="117" spans="1:7" x14ac:dyDescent="0.2">
      <c r="A117" s="12"/>
      <c r="B117" s="2" t="s">
        <v>418</v>
      </c>
      <c r="C117" s="2"/>
      <c r="D117" s="6">
        <v>12</v>
      </c>
      <c r="E117" s="3" t="str">
        <f>VLOOKUP(B117,Produits!A:G,3,FALSE)</f>
        <v>Kilogramme</v>
      </c>
      <c r="F117" s="134">
        <f>VLOOKUP(B117,Produits!A:G,7,FALSE)</f>
        <v>5</v>
      </c>
      <c r="G117" s="104">
        <f>F117*D117</f>
        <v>60</v>
      </c>
    </row>
    <row r="118" spans="1:7" ht="17" x14ac:dyDescent="0.2">
      <c r="A118" s="12"/>
      <c r="B118" s="90" t="s">
        <v>86</v>
      </c>
      <c r="C118" s="90"/>
      <c r="D118" s="103"/>
      <c r="E118" s="94"/>
      <c r="F118" s="94"/>
      <c r="G118" s="104">
        <f>SUM(G117:G117)</f>
        <v>60</v>
      </c>
    </row>
    <row r="119" spans="1:7" x14ac:dyDescent="0.2">
      <c r="A119" s="12"/>
      <c r="B119" s="89" t="s">
        <v>138</v>
      </c>
      <c r="C119" s="89"/>
      <c r="D119" s="6">
        <v>400</v>
      </c>
      <c r="E119" s="12"/>
      <c r="F119" s="12"/>
      <c r="G119" s="12"/>
    </row>
    <row r="120" spans="1:7" s="15" customFormat="1" x14ac:dyDescent="0.2">
      <c r="A120" s="12"/>
      <c r="B120" s="89" t="s">
        <v>129</v>
      </c>
      <c r="C120" s="89"/>
      <c r="D120" s="104">
        <f>G118/D119</f>
        <v>0.15</v>
      </c>
      <c r="E120" s="12"/>
      <c r="F120" s="12"/>
      <c r="G120" s="12"/>
    </row>
    <row r="122" spans="1:7" x14ac:dyDescent="0.2">
      <c r="A122" s="1" t="s">
        <v>114</v>
      </c>
      <c r="B122" s="1" t="s">
        <v>405</v>
      </c>
      <c r="C122" s="1"/>
      <c r="D122" s="10"/>
      <c r="E122" s="1"/>
      <c r="F122" s="7"/>
      <c r="G122" s="7"/>
    </row>
    <row r="123" spans="1:7" ht="17" x14ac:dyDescent="0.2">
      <c r="A123" s="106"/>
      <c r="B123" s="102"/>
      <c r="C123" s="102"/>
      <c r="D123" s="87" t="s">
        <v>82</v>
      </c>
      <c r="E123" s="87" t="s">
        <v>83</v>
      </c>
      <c r="F123" s="87" t="s">
        <v>84</v>
      </c>
      <c r="G123" s="87" t="s">
        <v>85</v>
      </c>
    </row>
    <row r="124" spans="1:7" x14ac:dyDescent="0.2">
      <c r="A124" s="106"/>
      <c r="B124" s="2" t="s">
        <v>402</v>
      </c>
      <c r="C124" s="2"/>
      <c r="D124" s="6">
        <v>1</v>
      </c>
      <c r="E124" s="3" t="str">
        <f>VLOOKUP(B124,Produits!A:G,3,FALSE)</f>
        <v>Pièce</v>
      </c>
      <c r="F124" s="134">
        <f>VLOOKUP(B124,Produits!A:G,7,FALSE)</f>
        <v>0.1215</v>
      </c>
      <c r="G124" s="104">
        <f>F124*D124</f>
        <v>0.1215</v>
      </c>
    </row>
    <row r="125" spans="1:7" x14ac:dyDescent="0.2">
      <c r="A125" s="106"/>
      <c r="B125" s="2" t="s">
        <v>15</v>
      </c>
      <c r="C125" s="2"/>
      <c r="D125" s="6">
        <v>0.01</v>
      </c>
      <c r="E125" s="3" t="str">
        <f>VLOOKUP(B125,Produits!A:G,3,FALSE)</f>
        <v>Kilogramme</v>
      </c>
      <c r="F125" s="134">
        <f>VLOOKUP(B125,Produits!A:G,7,FALSE)</f>
        <v>9.58</v>
      </c>
      <c r="G125" s="104">
        <f>F125*D125</f>
        <v>9.5799999999999996E-2</v>
      </c>
    </row>
    <row r="126" spans="1:7" ht="17" x14ac:dyDescent="0.2">
      <c r="A126" s="106"/>
      <c r="B126" s="90" t="s">
        <v>86</v>
      </c>
      <c r="C126" s="90"/>
      <c r="D126" s="103"/>
      <c r="E126" s="94"/>
      <c r="F126" s="94"/>
      <c r="G126" s="104">
        <f>SUM(G124:G125)</f>
        <v>0.21729999999999999</v>
      </c>
    </row>
    <row r="127" spans="1:7" x14ac:dyDescent="0.2">
      <c r="A127" s="106"/>
      <c r="B127" s="89" t="s">
        <v>138</v>
      </c>
      <c r="C127" s="89"/>
      <c r="D127" s="6">
        <v>1</v>
      </c>
      <c r="E127" s="97"/>
      <c r="F127" s="98"/>
      <c r="G127" s="98"/>
    </row>
    <row r="128" spans="1:7" x14ac:dyDescent="0.2">
      <c r="A128" s="106"/>
      <c r="B128" s="89" t="s">
        <v>129</v>
      </c>
      <c r="C128" s="89"/>
      <c r="D128" s="104">
        <f>G126/D127</f>
        <v>0.21729999999999999</v>
      </c>
      <c r="E128" s="99"/>
      <c r="F128" s="100"/>
      <c r="G128" s="101"/>
    </row>
    <row r="131" spans="1:7" x14ac:dyDescent="0.2">
      <c r="A131" s="1" t="s">
        <v>114</v>
      </c>
      <c r="B131" s="1" t="s">
        <v>92</v>
      </c>
      <c r="C131" s="1"/>
      <c r="D131" s="10"/>
      <c r="E131" s="1"/>
      <c r="F131" s="7"/>
      <c r="G131" s="7"/>
    </row>
    <row r="132" spans="1:7" ht="17" x14ac:dyDescent="0.2">
      <c r="A132" s="106"/>
      <c r="B132" s="102"/>
      <c r="C132" s="102"/>
      <c r="D132" s="87" t="s">
        <v>82</v>
      </c>
      <c r="E132" s="87" t="s">
        <v>83</v>
      </c>
      <c r="F132" s="87" t="s">
        <v>84</v>
      </c>
      <c r="G132" s="87" t="s">
        <v>85</v>
      </c>
    </row>
    <row r="133" spans="1:7" x14ac:dyDescent="0.2">
      <c r="A133" s="106"/>
      <c r="B133" s="2" t="s">
        <v>354</v>
      </c>
      <c r="C133" s="2"/>
      <c r="D133" s="6">
        <v>1</v>
      </c>
      <c r="E133" s="3" t="e">
        <f>VLOOKUP(B133,Produits!A:G,3,FALSE)</f>
        <v>#N/A</v>
      </c>
      <c r="F133" s="92" t="e">
        <f>VLOOKUP(B133,Produits!A:G,7,FALSE)</f>
        <v>#N/A</v>
      </c>
      <c r="G133" s="95" t="e">
        <f>F133*D133</f>
        <v>#N/A</v>
      </c>
    </row>
    <row r="134" spans="1:7" x14ac:dyDescent="0.2">
      <c r="A134" s="106"/>
      <c r="B134" s="2" t="s">
        <v>17</v>
      </c>
      <c r="C134" s="2"/>
      <c r="D134" s="6">
        <v>0.05</v>
      </c>
      <c r="E134" s="3" t="str">
        <f>VLOOKUP(B134,Produits!A:G,3,FALSE)</f>
        <v>Kilogramme</v>
      </c>
      <c r="F134" s="92">
        <f>VLOOKUP(B134,Produits!A:G,7,FALSE)</f>
        <v>55.333333333333343</v>
      </c>
      <c r="G134" s="95">
        <f t="shared" ref="G134:G137" si="9">F134*D134</f>
        <v>2.7666666666666675</v>
      </c>
    </row>
    <row r="135" spans="1:7" x14ac:dyDescent="0.2">
      <c r="A135" s="106"/>
      <c r="B135" s="2" t="s">
        <v>106</v>
      </c>
      <c r="C135" s="2"/>
      <c r="D135" s="6">
        <v>0.03</v>
      </c>
      <c r="E135" s="3" t="str">
        <f>VLOOKUP(B135,Produits!A:G,3,FALSE)</f>
        <v>Litre</v>
      </c>
      <c r="F135" s="92">
        <f>VLOOKUP(B135,Produits!A:G,7,FALSE)</f>
        <v>4.49</v>
      </c>
      <c r="G135" s="95">
        <f t="shared" si="9"/>
        <v>0.13470000000000001</v>
      </c>
    </row>
    <row r="136" spans="1:7" x14ac:dyDescent="0.2">
      <c r="A136" s="106"/>
      <c r="B136" s="2" t="s">
        <v>93</v>
      </c>
      <c r="C136" s="2"/>
      <c r="D136" s="6">
        <v>0.06</v>
      </c>
      <c r="E136" s="3" t="str">
        <f>VLOOKUP(B136,Produits!A:G,3,FALSE)</f>
        <v>Kilogramme</v>
      </c>
      <c r="F136" s="92">
        <f>VLOOKUP(B136,Produits!A:G,7,FALSE)</f>
        <v>16.375</v>
      </c>
      <c r="G136" s="95">
        <f t="shared" si="9"/>
        <v>0.98249999999999993</v>
      </c>
    </row>
    <row r="137" spans="1:7" x14ac:dyDescent="0.2">
      <c r="A137" s="106"/>
      <c r="B137" s="2" t="s">
        <v>15</v>
      </c>
      <c r="C137" s="2"/>
      <c r="D137" s="6">
        <v>5.0000000000000001E-3</v>
      </c>
      <c r="E137" s="93" t="str">
        <f>VLOOKUP(B137,Produits!A:G,3,FALSE)</f>
        <v>Kilogramme</v>
      </c>
      <c r="F137" s="92">
        <f>VLOOKUP(B137,Produits!A:G,7,FALSE)</f>
        <v>9.58</v>
      </c>
      <c r="G137" s="95">
        <f t="shared" si="9"/>
        <v>4.7899999999999998E-2</v>
      </c>
    </row>
    <row r="138" spans="1:7" ht="17" x14ac:dyDescent="0.2">
      <c r="A138" s="106"/>
      <c r="B138" s="90" t="s">
        <v>86</v>
      </c>
      <c r="C138" s="90"/>
      <c r="D138" s="103"/>
      <c r="E138" s="94"/>
      <c r="F138" s="94"/>
      <c r="G138" s="95" t="e">
        <f>SUM(G133:G137)</f>
        <v>#N/A</v>
      </c>
    </row>
    <row r="139" spans="1:7" x14ac:dyDescent="0.2">
      <c r="A139" s="106"/>
      <c r="B139" s="89" t="s">
        <v>138</v>
      </c>
      <c r="C139" s="89"/>
      <c r="D139" s="6">
        <v>1</v>
      </c>
      <c r="E139" s="97"/>
      <c r="F139" s="98"/>
      <c r="G139" s="98"/>
    </row>
    <row r="140" spans="1:7" s="15" customFormat="1" x14ac:dyDescent="0.2">
      <c r="A140" s="106"/>
      <c r="B140" s="89" t="s">
        <v>129</v>
      </c>
      <c r="C140" s="89"/>
      <c r="D140" s="104" t="e">
        <f>G138/D139</f>
        <v>#N/A</v>
      </c>
      <c r="E140" s="99"/>
      <c r="F140" s="100"/>
      <c r="G140" s="101"/>
    </row>
    <row r="142" spans="1:7" x14ac:dyDescent="0.2">
      <c r="A142" s="12" t="s">
        <v>115</v>
      </c>
      <c r="B142" s="12" t="s">
        <v>98</v>
      </c>
      <c r="C142" s="12"/>
      <c r="D142" s="13"/>
      <c r="E142" s="12"/>
      <c r="F142" s="14"/>
      <c r="G142" s="14"/>
    </row>
    <row r="143" spans="1:7" ht="17" x14ac:dyDescent="0.2">
      <c r="A143" s="12"/>
      <c r="B143" s="12"/>
      <c r="C143" s="12"/>
      <c r="D143" s="87" t="s">
        <v>82</v>
      </c>
      <c r="E143" s="87" t="s">
        <v>83</v>
      </c>
      <c r="F143" s="87" t="s">
        <v>84</v>
      </c>
      <c r="G143" s="87" t="s">
        <v>85</v>
      </c>
    </row>
    <row r="144" spans="1:7" x14ac:dyDescent="0.2">
      <c r="A144" s="12"/>
      <c r="B144" s="2" t="s">
        <v>106</v>
      </c>
      <c r="C144" s="2"/>
      <c r="D144" s="6">
        <v>1</v>
      </c>
      <c r="E144" s="3" t="str">
        <f>VLOOKUP(B144,Produits!A:G,3,FALSE)</f>
        <v>Litre</v>
      </c>
      <c r="F144" s="92">
        <f>VLOOKUP(B144,Produits!A:G,7,FALSE)</f>
        <v>4.49</v>
      </c>
      <c r="G144" s="95">
        <f>F144*D144</f>
        <v>4.49</v>
      </c>
    </row>
    <row r="145" spans="1:7" x14ac:dyDescent="0.2">
      <c r="A145" s="12"/>
      <c r="B145" s="2" t="s">
        <v>22</v>
      </c>
      <c r="C145" s="2"/>
      <c r="D145" s="6">
        <v>0.45</v>
      </c>
      <c r="E145" s="3" t="str">
        <f>VLOOKUP(B145,Produits!A:G,3,FALSE)</f>
        <v>Kilogramme</v>
      </c>
      <c r="F145" s="92">
        <f>VLOOKUP(B145,Produits!A:G,7,FALSE)</f>
        <v>8</v>
      </c>
      <c r="G145" s="95">
        <f t="shared" ref="G145:G148" si="10">F145*D145</f>
        <v>3.6</v>
      </c>
    </row>
    <row r="146" spans="1:7" x14ac:dyDescent="0.2">
      <c r="A146" s="12"/>
      <c r="B146" s="2" t="s">
        <v>10</v>
      </c>
      <c r="C146" s="2"/>
      <c r="D146" s="6">
        <v>0.01</v>
      </c>
      <c r="E146" s="3" t="str">
        <f>VLOOKUP(B146,Produits!A:G,3,FALSE)</f>
        <v>Kilogramme</v>
      </c>
      <c r="F146" s="92">
        <f>VLOOKUP(B146,Produits!A:G,7,FALSE)</f>
        <v>1.1000000000000001</v>
      </c>
      <c r="G146" s="95">
        <f t="shared" si="10"/>
        <v>1.1000000000000001E-2</v>
      </c>
    </row>
    <row r="147" spans="1:7" x14ac:dyDescent="0.2">
      <c r="A147" s="12"/>
      <c r="B147" s="2" t="s">
        <v>28</v>
      </c>
      <c r="C147" s="2"/>
      <c r="D147" s="6">
        <v>0.01</v>
      </c>
      <c r="E147" s="3" t="str">
        <f>VLOOKUP(B147,Produits!A:G,3,FALSE)</f>
        <v>Kilogramme</v>
      </c>
      <c r="F147" s="92">
        <f>VLOOKUP(B147,Produits!A:G,7,FALSE)</f>
        <v>114.41176470588235</v>
      </c>
      <c r="G147" s="95">
        <f t="shared" si="10"/>
        <v>1.1441176470588235</v>
      </c>
    </row>
    <row r="148" spans="1:7" x14ac:dyDescent="0.2">
      <c r="A148" s="12"/>
      <c r="B148" s="2" t="s">
        <v>18</v>
      </c>
      <c r="C148" s="2"/>
      <c r="D148" s="6">
        <v>0.05</v>
      </c>
      <c r="E148" s="3" t="str">
        <f>VLOOKUP(B148,Produits!A:G,3,FALSE)</f>
        <v>Kilogramme</v>
      </c>
      <c r="F148" s="92">
        <f>VLOOKUP(B148,Produits!A:G,7,FALSE)</f>
        <v>50</v>
      </c>
      <c r="G148" s="95">
        <f t="shared" si="10"/>
        <v>2.5</v>
      </c>
    </row>
    <row r="149" spans="1:7" ht="17" x14ac:dyDescent="0.2">
      <c r="A149" s="12"/>
      <c r="B149" s="90" t="s">
        <v>86</v>
      </c>
      <c r="C149" s="90"/>
      <c r="D149" s="103"/>
      <c r="E149" s="94"/>
      <c r="F149" s="94"/>
      <c r="G149" s="95">
        <f>SUM(G144:G148)</f>
        <v>11.745117647058823</v>
      </c>
    </row>
    <row r="150" spans="1:7" x14ac:dyDescent="0.2">
      <c r="A150" s="12"/>
      <c r="B150" s="89" t="s">
        <v>138</v>
      </c>
      <c r="C150" s="89"/>
      <c r="D150" s="6">
        <v>30</v>
      </c>
      <c r="E150" s="12"/>
      <c r="F150" s="12"/>
      <c r="G150" s="12"/>
    </row>
    <row r="151" spans="1:7" s="15" customFormat="1" x14ac:dyDescent="0.2">
      <c r="A151" s="12"/>
      <c r="B151" s="89" t="s">
        <v>129</v>
      </c>
      <c r="C151" s="89"/>
      <c r="D151" s="104">
        <f>G149/D150</f>
        <v>0.39150392156862746</v>
      </c>
      <c r="E151" s="12"/>
      <c r="F151" s="12"/>
      <c r="G151" s="12"/>
    </row>
    <row r="153" spans="1:7" x14ac:dyDescent="0.2">
      <c r="A153" s="1" t="s">
        <v>114</v>
      </c>
      <c r="B153" s="1" t="s">
        <v>94</v>
      </c>
      <c r="C153" s="1"/>
      <c r="D153" s="10"/>
      <c r="E153" s="1"/>
      <c r="F153" s="7"/>
      <c r="G153" s="7"/>
    </row>
    <row r="154" spans="1:7" ht="17" x14ac:dyDescent="0.2">
      <c r="A154" s="106"/>
      <c r="B154" s="102"/>
      <c r="C154" s="102"/>
      <c r="D154" s="87" t="s">
        <v>82</v>
      </c>
      <c r="E154" s="87" t="s">
        <v>83</v>
      </c>
      <c r="F154" s="87" t="s">
        <v>84</v>
      </c>
      <c r="G154" s="87" t="s">
        <v>85</v>
      </c>
    </row>
    <row r="155" spans="1:7" x14ac:dyDescent="0.2">
      <c r="A155" s="106"/>
      <c r="B155" s="2" t="s">
        <v>354</v>
      </c>
      <c r="C155" s="2"/>
      <c r="D155" s="6">
        <v>1</v>
      </c>
      <c r="E155" s="3" t="e">
        <f>VLOOKUP(B155,Produits!A:G,3,FALSE)</f>
        <v>#N/A</v>
      </c>
      <c r="F155" s="92" t="e">
        <f>VLOOKUP(B155,Produits!A:G,7,FALSE)</f>
        <v>#N/A</v>
      </c>
      <c r="G155" s="95" t="e">
        <f>F155*D155</f>
        <v>#N/A</v>
      </c>
    </row>
    <row r="156" spans="1:7" x14ac:dyDescent="0.2">
      <c r="A156" s="106"/>
      <c r="B156" s="2" t="s">
        <v>98</v>
      </c>
      <c r="C156" s="2"/>
      <c r="D156" s="6">
        <v>1</v>
      </c>
      <c r="E156" s="3" t="str">
        <f>VLOOKUP(B156,Produits!A:G,3,FALSE)</f>
        <v>Pièce</v>
      </c>
      <c r="F156" s="92">
        <f>VLOOKUP(B156,Produits!A:G,7,FALSE)</f>
        <v>0.39150392156862746</v>
      </c>
      <c r="G156" s="95">
        <f t="shared" ref="G156:G159" si="11">F156*D156</f>
        <v>0.39150392156862746</v>
      </c>
    </row>
    <row r="157" spans="1:7" x14ac:dyDescent="0.2">
      <c r="A157" s="106"/>
      <c r="B157" s="2" t="s">
        <v>24</v>
      </c>
      <c r="C157" s="2"/>
      <c r="D157" s="6">
        <v>1.4999999999999999E-2</v>
      </c>
      <c r="E157" s="3" t="str">
        <f>VLOOKUP(B157,Produits!A:G,3,FALSE)</f>
        <v>Kilogramme</v>
      </c>
      <c r="F157" s="92">
        <f>VLOOKUP(B157,Produits!A:G,7,FALSE)</f>
        <v>11.69</v>
      </c>
      <c r="G157" s="95">
        <f t="shared" si="11"/>
        <v>0.17534999999999998</v>
      </c>
    </row>
    <row r="158" spans="1:7" x14ac:dyDescent="0.2">
      <c r="A158" s="106"/>
      <c r="B158" s="2" t="s">
        <v>23</v>
      </c>
      <c r="C158" s="2"/>
      <c r="D158" s="6">
        <v>0.01</v>
      </c>
      <c r="E158" s="3" t="str">
        <f>VLOOKUP(B158,Produits!A:G,3,FALSE)</f>
        <v>Kilogramme</v>
      </c>
      <c r="F158" s="92">
        <f>VLOOKUP(B158,Produits!A:G,7,FALSE)</f>
        <v>23.2</v>
      </c>
      <c r="G158" s="95">
        <f t="shared" si="11"/>
        <v>0.23199999999999998</v>
      </c>
    </row>
    <row r="159" spans="1:7" x14ac:dyDescent="0.2">
      <c r="A159" s="106"/>
      <c r="B159" s="2" t="s">
        <v>15</v>
      </c>
      <c r="C159" s="2"/>
      <c r="D159" s="6">
        <v>5.0000000000000001E-3</v>
      </c>
      <c r="E159" s="3" t="str">
        <f>VLOOKUP(B159,Produits!A:G,3,FALSE)</f>
        <v>Kilogramme</v>
      </c>
      <c r="F159" s="92">
        <f>VLOOKUP(B159,Produits!A:G,7,FALSE)</f>
        <v>9.58</v>
      </c>
      <c r="G159" s="95">
        <f t="shared" si="11"/>
        <v>4.7899999999999998E-2</v>
      </c>
    </row>
    <row r="160" spans="1:7" ht="17" x14ac:dyDescent="0.2">
      <c r="A160" s="106"/>
      <c r="B160" s="90" t="s">
        <v>86</v>
      </c>
      <c r="C160" s="90"/>
      <c r="D160" s="103"/>
      <c r="E160" s="94"/>
      <c r="F160" s="94"/>
      <c r="G160" s="95" t="e">
        <f>SUM(G155:G159)</f>
        <v>#N/A</v>
      </c>
    </row>
    <row r="161" spans="1:7" x14ac:dyDescent="0.2">
      <c r="A161" s="106"/>
      <c r="B161" s="89" t="s">
        <v>138</v>
      </c>
      <c r="C161" s="89"/>
      <c r="D161" s="6">
        <v>1</v>
      </c>
      <c r="E161" s="97"/>
      <c r="F161" s="98"/>
      <c r="G161" s="98"/>
    </row>
    <row r="162" spans="1:7" s="15" customFormat="1" x14ac:dyDescent="0.2">
      <c r="A162" s="106"/>
      <c r="B162" s="89" t="s">
        <v>129</v>
      </c>
      <c r="C162" s="89"/>
      <c r="D162" s="104" t="e">
        <f>G160/D161</f>
        <v>#N/A</v>
      </c>
      <c r="E162" s="99"/>
      <c r="F162" s="100"/>
      <c r="G162" s="101"/>
    </row>
    <row r="164" spans="1:7" s="19" customFormat="1" x14ac:dyDescent="0.2">
      <c r="A164" s="12" t="s">
        <v>115</v>
      </c>
      <c r="B164" s="12" t="s">
        <v>96</v>
      </c>
      <c r="C164" s="12"/>
      <c r="D164" s="13"/>
      <c r="E164" s="12"/>
      <c r="F164" s="14"/>
      <c r="G164" s="14"/>
    </row>
    <row r="165" spans="1:7" ht="17" x14ac:dyDescent="0.2">
      <c r="A165" s="12"/>
      <c r="B165" s="12"/>
      <c r="C165" s="12"/>
      <c r="D165" s="87" t="s">
        <v>82</v>
      </c>
      <c r="E165" s="87" t="s">
        <v>83</v>
      </c>
      <c r="F165" s="87" t="s">
        <v>84</v>
      </c>
      <c r="G165" s="87" t="s">
        <v>85</v>
      </c>
    </row>
    <row r="166" spans="1:7" x14ac:dyDescent="0.2">
      <c r="A166" s="12"/>
      <c r="B166" s="2" t="s">
        <v>106</v>
      </c>
      <c r="C166" s="2"/>
      <c r="D166" s="6">
        <v>1</v>
      </c>
      <c r="E166" s="3" t="str">
        <f>VLOOKUP(B166,Produits!A:G,3,FALSE)</f>
        <v>Litre</v>
      </c>
      <c r="F166" s="92">
        <f>VLOOKUP(B166,Produits!A:G,7,FALSE)</f>
        <v>4.49</v>
      </c>
      <c r="G166" s="95">
        <f>F166*D166</f>
        <v>4.49</v>
      </c>
    </row>
    <row r="167" spans="1:7" x14ac:dyDescent="0.2">
      <c r="A167" s="12"/>
      <c r="B167" s="2" t="s">
        <v>97</v>
      </c>
      <c r="C167" s="2"/>
      <c r="D167" s="6">
        <v>0.45</v>
      </c>
      <c r="E167" s="3" t="str">
        <f>VLOOKUP(B167,Produits!A:G,3,FALSE)</f>
        <v>Kilogramme</v>
      </c>
      <c r="F167" s="92">
        <f>VLOOKUP(B167,Produits!A:G,7,FALSE)</f>
        <v>4.6533333333333333</v>
      </c>
      <c r="G167" s="95">
        <f t="shared" ref="G167:G170" si="12">F167*D167</f>
        <v>2.0939999999999999</v>
      </c>
    </row>
    <row r="168" spans="1:7" x14ac:dyDescent="0.2">
      <c r="A168" s="12"/>
      <c r="B168" s="2" t="s">
        <v>10</v>
      </c>
      <c r="C168" s="2"/>
      <c r="D168" s="6">
        <v>0.03</v>
      </c>
      <c r="E168" s="3" t="str">
        <f>VLOOKUP(B168,Produits!A:G,3,FALSE)</f>
        <v>Kilogramme</v>
      </c>
      <c r="F168" s="92">
        <f>VLOOKUP(B168,Produits!A:G,7,FALSE)</f>
        <v>1.1000000000000001</v>
      </c>
      <c r="G168" s="95">
        <f t="shared" si="12"/>
        <v>3.3000000000000002E-2</v>
      </c>
    </row>
    <row r="169" spans="1:7" x14ac:dyDescent="0.2">
      <c r="A169" s="12"/>
      <c r="B169" s="2" t="s">
        <v>28</v>
      </c>
      <c r="C169" s="2"/>
      <c r="D169" s="6">
        <v>1.4999999999999999E-2</v>
      </c>
      <c r="E169" s="3" t="str">
        <f>VLOOKUP(B169,Produits!A:G,3,FALSE)</f>
        <v>Kilogramme</v>
      </c>
      <c r="F169" s="92">
        <f>VLOOKUP(B169,Produits!A:G,7,FALSE)</f>
        <v>114.41176470588235</v>
      </c>
      <c r="G169" s="95">
        <f t="shared" si="12"/>
        <v>1.7161764705882352</v>
      </c>
    </row>
    <row r="170" spans="1:7" x14ac:dyDescent="0.2">
      <c r="A170" s="12"/>
      <c r="B170" s="2" t="s">
        <v>18</v>
      </c>
      <c r="C170" s="2"/>
      <c r="D170" s="6">
        <v>0.05</v>
      </c>
      <c r="E170" s="3" t="str">
        <f>VLOOKUP(B170,Produits!A:G,3,FALSE)</f>
        <v>Kilogramme</v>
      </c>
      <c r="F170" s="92">
        <f>VLOOKUP(B170,Produits!A:G,7,FALSE)</f>
        <v>50</v>
      </c>
      <c r="G170" s="95">
        <f t="shared" si="12"/>
        <v>2.5</v>
      </c>
    </row>
    <row r="171" spans="1:7" ht="17" x14ac:dyDescent="0.2">
      <c r="A171" s="12"/>
      <c r="B171" s="90" t="s">
        <v>86</v>
      </c>
      <c r="C171" s="90"/>
      <c r="D171" s="103"/>
      <c r="E171" s="94"/>
      <c r="F171" s="94"/>
      <c r="G171" s="95">
        <f>SUM(G166:G170)</f>
        <v>10.833176470588235</v>
      </c>
    </row>
    <row r="172" spans="1:7" x14ac:dyDescent="0.2">
      <c r="A172" s="12"/>
      <c r="B172" s="89" t="s">
        <v>138</v>
      </c>
      <c r="C172" s="89"/>
      <c r="D172" s="6">
        <v>30</v>
      </c>
      <c r="E172" s="12"/>
      <c r="F172" s="12"/>
      <c r="G172" s="12"/>
    </row>
    <row r="173" spans="1:7" s="15" customFormat="1" x14ac:dyDescent="0.2">
      <c r="A173" s="12"/>
      <c r="B173" s="89" t="s">
        <v>129</v>
      </c>
      <c r="C173" s="89"/>
      <c r="D173" s="104">
        <f>G171/D172</f>
        <v>0.36110588235294117</v>
      </c>
      <c r="E173" s="12"/>
      <c r="F173" s="12"/>
      <c r="G173" s="12"/>
    </row>
    <row r="175" spans="1:7" x14ac:dyDescent="0.2">
      <c r="A175" s="1" t="s">
        <v>114</v>
      </c>
      <c r="B175" s="1" t="s">
        <v>95</v>
      </c>
      <c r="C175" s="1"/>
      <c r="D175" s="10"/>
      <c r="E175" s="1"/>
      <c r="F175" s="7"/>
      <c r="G175" s="7"/>
    </row>
    <row r="176" spans="1:7" ht="17" x14ac:dyDescent="0.2">
      <c r="A176" s="106"/>
      <c r="B176" s="102"/>
      <c r="C176" s="102"/>
      <c r="D176" s="87" t="s">
        <v>82</v>
      </c>
      <c r="E176" s="87" t="s">
        <v>83</v>
      </c>
      <c r="F176" s="87" t="s">
        <v>84</v>
      </c>
      <c r="G176" s="87" t="s">
        <v>85</v>
      </c>
    </row>
    <row r="177" spans="1:7" x14ac:dyDescent="0.2">
      <c r="A177" s="106"/>
      <c r="B177" s="2" t="s">
        <v>354</v>
      </c>
      <c r="C177" s="2"/>
      <c r="D177" s="6">
        <v>1</v>
      </c>
      <c r="E177" s="3" t="e">
        <f>VLOOKUP(B177,Produits!A:G,3,FALSE)</f>
        <v>#N/A</v>
      </c>
      <c r="F177" s="92" t="e">
        <f>VLOOKUP(B177,Produits!A:G,7,FALSE)</f>
        <v>#N/A</v>
      </c>
      <c r="G177" s="95" t="e">
        <f>F177*D177</f>
        <v>#N/A</v>
      </c>
    </row>
    <row r="178" spans="1:7" x14ac:dyDescent="0.2">
      <c r="A178" s="106"/>
      <c r="B178" s="2" t="s">
        <v>26</v>
      </c>
      <c r="C178" s="2"/>
      <c r="D178" s="6">
        <v>0.03</v>
      </c>
      <c r="E178" s="3" t="str">
        <f>VLOOKUP(B178,Produits!A:G,3,FALSE)</f>
        <v>Kilogramme</v>
      </c>
      <c r="F178" s="92">
        <f>VLOOKUP(B178,Produits!A:G,7,FALSE)</f>
        <v>80</v>
      </c>
      <c r="G178" s="95">
        <f t="shared" ref="G178:G180" si="13">F178*D178</f>
        <v>2.4</v>
      </c>
    </row>
    <row r="179" spans="1:7" x14ac:dyDescent="0.2">
      <c r="A179" s="106"/>
      <c r="B179" s="2" t="s">
        <v>96</v>
      </c>
      <c r="C179" s="2"/>
      <c r="D179" s="6">
        <v>1</v>
      </c>
      <c r="E179" s="3" t="str">
        <f>VLOOKUP(B179,Produits!A:G,3,FALSE)</f>
        <v>Pièce</v>
      </c>
      <c r="F179" s="92">
        <f>VLOOKUP(B179,Produits!A:G,7,FALSE)</f>
        <v>0.36110588235294117</v>
      </c>
      <c r="G179" s="95">
        <f t="shared" si="13"/>
        <v>0.36110588235294117</v>
      </c>
    </row>
    <row r="180" spans="1:7" x14ac:dyDescent="0.2">
      <c r="A180" s="106"/>
      <c r="B180" s="2" t="s">
        <v>15</v>
      </c>
      <c r="C180" s="2"/>
      <c r="D180" s="6">
        <v>5.0000000000000001E-3</v>
      </c>
      <c r="E180" s="3" t="str">
        <f>VLOOKUP(B180,Produits!A:G,3,FALSE)</f>
        <v>Kilogramme</v>
      </c>
      <c r="F180" s="92">
        <f>VLOOKUP(B180,Produits!A:G,7,FALSE)</f>
        <v>9.58</v>
      </c>
      <c r="G180" s="95">
        <f t="shared" si="13"/>
        <v>4.7899999999999998E-2</v>
      </c>
    </row>
    <row r="181" spans="1:7" ht="17" x14ac:dyDescent="0.2">
      <c r="A181" s="106"/>
      <c r="B181" s="90" t="s">
        <v>86</v>
      </c>
      <c r="C181" s="90"/>
      <c r="D181" s="103"/>
      <c r="E181" s="94"/>
      <c r="F181" s="94"/>
      <c r="G181" s="95" t="e">
        <f>SUM(G177:G180)</f>
        <v>#N/A</v>
      </c>
    </row>
    <row r="182" spans="1:7" x14ac:dyDescent="0.2">
      <c r="A182" s="106"/>
      <c r="B182" s="89" t="s">
        <v>138</v>
      </c>
      <c r="C182" s="89"/>
      <c r="D182" s="6">
        <v>1</v>
      </c>
      <c r="E182" s="97"/>
      <c r="F182" s="98"/>
      <c r="G182" s="98"/>
    </row>
    <row r="183" spans="1:7" s="15" customFormat="1" x14ac:dyDescent="0.2">
      <c r="A183" s="106"/>
      <c r="B183" s="89" t="s">
        <v>129</v>
      </c>
      <c r="C183" s="89"/>
      <c r="D183" s="104" t="e">
        <f>G181/D182</f>
        <v>#N/A</v>
      </c>
      <c r="E183" s="99"/>
      <c r="F183" s="100"/>
      <c r="G183" s="101"/>
    </row>
    <row r="185" spans="1:7" s="19" customFormat="1" x14ac:dyDescent="0.2">
      <c r="A185" s="12" t="s">
        <v>115</v>
      </c>
      <c r="B185" s="12" t="s">
        <v>100</v>
      </c>
      <c r="C185" s="12"/>
      <c r="D185" s="13"/>
      <c r="E185" s="12"/>
      <c r="F185" s="14"/>
      <c r="G185" s="14"/>
    </row>
    <row r="186" spans="1:7" ht="17" x14ac:dyDescent="0.2">
      <c r="A186" s="12"/>
      <c r="B186" s="12"/>
      <c r="C186" s="12"/>
      <c r="D186" s="87" t="s">
        <v>82</v>
      </c>
      <c r="E186" s="87" t="s">
        <v>83</v>
      </c>
      <c r="F186" s="87" t="s">
        <v>84</v>
      </c>
      <c r="G186" s="87" t="s">
        <v>85</v>
      </c>
    </row>
    <row r="187" spans="1:7" x14ac:dyDescent="0.2">
      <c r="A187" s="12"/>
      <c r="B187" s="2" t="s">
        <v>101</v>
      </c>
      <c r="C187" s="2"/>
      <c r="D187" s="6">
        <v>0.5</v>
      </c>
      <c r="E187" s="3" t="str">
        <f>VLOOKUP(B187,Produits!A:G,3,FALSE)</f>
        <v>Kilogramme</v>
      </c>
      <c r="F187" s="92">
        <f>VLOOKUP(B187,Produits!A:G,7,FALSE)</f>
        <v>3.28</v>
      </c>
      <c r="G187" s="95">
        <f>F187*D187</f>
        <v>1.64</v>
      </c>
    </row>
    <row r="188" spans="1:7" x14ac:dyDescent="0.2">
      <c r="A188" s="12"/>
      <c r="B188" s="2" t="s">
        <v>102</v>
      </c>
      <c r="C188" s="2"/>
      <c r="D188" s="6">
        <v>0.03</v>
      </c>
      <c r="E188" s="3" t="str">
        <f>VLOOKUP(B188,Produits!A:G,3,FALSE)</f>
        <v>Kilogramme</v>
      </c>
      <c r="F188" s="92">
        <f>VLOOKUP(B188,Produits!A:G,7,FALSE)</f>
        <v>3.5227272727272729</v>
      </c>
      <c r="G188" s="95">
        <f t="shared" ref="G188:G195" si="14">F188*D188</f>
        <v>0.10568181818181818</v>
      </c>
    </row>
    <row r="189" spans="1:7" x14ac:dyDescent="0.2">
      <c r="A189" s="12"/>
      <c r="B189" s="2" t="s">
        <v>10</v>
      </c>
      <c r="C189" s="2"/>
      <c r="D189" s="6">
        <v>7.0000000000000001E-3</v>
      </c>
      <c r="E189" s="3" t="str">
        <f>VLOOKUP(B189,Produits!A:G,3,FALSE)</f>
        <v>Kilogramme</v>
      </c>
      <c r="F189" s="92">
        <f>VLOOKUP(B189,Produits!A:G,7,FALSE)</f>
        <v>1.1000000000000001</v>
      </c>
      <c r="G189" s="95">
        <f t="shared" si="14"/>
        <v>7.7000000000000011E-3</v>
      </c>
    </row>
    <row r="190" spans="1:7" x14ac:dyDescent="0.2">
      <c r="A190" s="12"/>
      <c r="B190" s="2" t="s">
        <v>28</v>
      </c>
      <c r="C190" s="2"/>
      <c r="D190" s="6">
        <v>7.0000000000000001E-3</v>
      </c>
      <c r="E190" s="3" t="str">
        <f>VLOOKUP(B190,Produits!A:G,3,FALSE)</f>
        <v>Kilogramme</v>
      </c>
      <c r="F190" s="92">
        <f>VLOOKUP(B190,Produits!A:G,7,FALSE)</f>
        <v>114.41176470588235</v>
      </c>
      <c r="G190" s="95">
        <f t="shared" si="14"/>
        <v>0.80088235294117649</v>
      </c>
    </row>
    <row r="191" spans="1:7" x14ac:dyDescent="0.2">
      <c r="A191" s="12"/>
      <c r="B191" s="2" t="s">
        <v>65</v>
      </c>
      <c r="C191" s="2"/>
      <c r="D191" s="6">
        <v>7.0000000000000001E-3</v>
      </c>
      <c r="E191" s="3" t="str">
        <f>VLOOKUP(B191,Produits!A:G,3,FALSE)</f>
        <v>Kilogramme</v>
      </c>
      <c r="F191" s="92">
        <f>VLOOKUP(B191,Produits!A:G,7,FALSE)</f>
        <v>1.85</v>
      </c>
      <c r="G191" s="95">
        <f t="shared" ref="G191" si="15">F191*D191</f>
        <v>1.2950000000000001E-2</v>
      </c>
    </row>
    <row r="192" spans="1:7" x14ac:dyDescent="0.2">
      <c r="A192" s="12"/>
      <c r="B192" s="2" t="s">
        <v>33</v>
      </c>
      <c r="C192" s="2"/>
      <c r="D192" s="6">
        <v>0.15</v>
      </c>
      <c r="E192" s="3" t="str">
        <f>VLOOKUP(B192,Produits!A:G,3,FALSE)</f>
        <v>Kilogramme</v>
      </c>
      <c r="F192" s="92">
        <f>VLOOKUP(B192,Produits!A:G,7,FALSE)</f>
        <v>1.345</v>
      </c>
      <c r="G192" s="95">
        <f t="shared" si="14"/>
        <v>0.20174999999999998</v>
      </c>
    </row>
    <row r="193" spans="1:7" x14ac:dyDescent="0.2">
      <c r="A193" s="12"/>
      <c r="B193" s="2" t="s">
        <v>16</v>
      </c>
      <c r="C193" s="2"/>
      <c r="D193" s="6">
        <v>1.4999999999999999E-2</v>
      </c>
      <c r="E193" s="3" t="str">
        <f>VLOOKUP(B193,Produits!A:G,3,FALSE)</f>
        <v>Kilogramme</v>
      </c>
      <c r="F193" s="92">
        <f>VLOOKUP(B193,Produits!A:G,7,FALSE)</f>
        <v>8.18</v>
      </c>
      <c r="G193" s="95">
        <f t="shared" ref="G193" si="16">F193*D193</f>
        <v>0.12269999999999999</v>
      </c>
    </row>
    <row r="194" spans="1:7" x14ac:dyDescent="0.2">
      <c r="A194" s="12"/>
      <c r="B194" s="2" t="s">
        <v>20</v>
      </c>
      <c r="C194" s="2"/>
      <c r="D194" s="6">
        <v>5.0000000000000001E-3</v>
      </c>
      <c r="E194" s="3" t="str">
        <f>VLOOKUP(B194,Produits!A:G,3,FALSE)</f>
        <v>Kilogramme</v>
      </c>
      <c r="F194" s="92">
        <f>VLOOKUP(B194,Produits!A:G,7,FALSE)</f>
        <v>19.799999999999997</v>
      </c>
      <c r="G194" s="95">
        <f t="shared" si="14"/>
        <v>9.8999999999999991E-2</v>
      </c>
    </row>
    <row r="195" spans="1:7" x14ac:dyDescent="0.2">
      <c r="A195" s="12"/>
      <c r="B195" s="2" t="s">
        <v>19</v>
      </c>
      <c r="C195" s="2"/>
      <c r="D195" s="6">
        <v>5.0000000000000001E-3</v>
      </c>
      <c r="E195" s="93" t="str">
        <f>VLOOKUP(B195,Produits!A:G,3,FALSE)</f>
        <v>Kilogramme</v>
      </c>
      <c r="F195" s="92">
        <f>VLOOKUP(B195,Produits!A:G,7,FALSE)</f>
        <v>19.799999999999997</v>
      </c>
      <c r="G195" s="95">
        <f t="shared" si="14"/>
        <v>9.8999999999999991E-2</v>
      </c>
    </row>
    <row r="196" spans="1:7" ht="17" x14ac:dyDescent="0.2">
      <c r="A196" s="12"/>
      <c r="B196" s="90" t="s">
        <v>86</v>
      </c>
      <c r="C196" s="90"/>
      <c r="D196" s="103"/>
      <c r="E196" s="94"/>
      <c r="F196" s="94"/>
      <c r="G196" s="95">
        <f>SUM(G187:G195)</f>
        <v>3.0896641711229953</v>
      </c>
    </row>
    <row r="197" spans="1:7" x14ac:dyDescent="0.2">
      <c r="A197" s="12"/>
      <c r="B197" s="89" t="s">
        <v>138</v>
      </c>
      <c r="C197" s="89"/>
      <c r="D197" s="6">
        <v>12</v>
      </c>
      <c r="E197" s="12"/>
      <c r="F197" s="12"/>
      <c r="G197" s="12"/>
    </row>
    <row r="198" spans="1:7" s="15" customFormat="1" x14ac:dyDescent="0.2">
      <c r="A198" s="12"/>
      <c r="B198" s="89" t="s">
        <v>129</v>
      </c>
      <c r="C198" s="89"/>
      <c r="D198" s="104">
        <f>G196/D197</f>
        <v>0.25747201426024963</v>
      </c>
      <c r="E198" s="12"/>
      <c r="F198" s="12"/>
      <c r="G198" s="12"/>
    </row>
    <row r="200" spans="1:7" s="19" customFormat="1" x14ac:dyDescent="0.2">
      <c r="A200" s="12" t="s">
        <v>115</v>
      </c>
      <c r="B200" s="12" t="s">
        <v>104</v>
      </c>
      <c r="C200" s="12"/>
      <c r="D200" s="13"/>
      <c r="E200" s="12"/>
      <c r="F200" s="14"/>
      <c r="G200" s="14"/>
    </row>
    <row r="201" spans="1:7" ht="17" x14ac:dyDescent="0.2">
      <c r="A201" s="12"/>
      <c r="B201" s="12"/>
      <c r="C201" s="12"/>
      <c r="D201" s="87" t="s">
        <v>82</v>
      </c>
      <c r="E201" s="87" t="s">
        <v>83</v>
      </c>
      <c r="F201" s="87" t="s">
        <v>84</v>
      </c>
      <c r="G201" s="87" t="s">
        <v>85</v>
      </c>
    </row>
    <row r="202" spans="1:7" x14ac:dyDescent="0.2">
      <c r="A202" s="12"/>
      <c r="B202" s="2" t="s">
        <v>30</v>
      </c>
      <c r="C202" s="2"/>
      <c r="D202" s="6">
        <v>0.5</v>
      </c>
      <c r="E202" s="3" t="str">
        <f>VLOOKUP(B202,Produits!A:G,3,FALSE)</f>
        <v>Kilogramme</v>
      </c>
      <c r="F202" s="92">
        <f>VLOOKUP(B202,Produits!A:G,7,FALSE)</f>
        <v>5.2325581395348841</v>
      </c>
      <c r="G202" s="95">
        <f>F202*D202</f>
        <v>2.6162790697674421</v>
      </c>
    </row>
    <row r="203" spans="1:7" x14ac:dyDescent="0.2">
      <c r="A203" s="12"/>
      <c r="B203" s="2" t="s">
        <v>105</v>
      </c>
      <c r="C203" s="2"/>
      <c r="D203" s="6">
        <v>0.1</v>
      </c>
      <c r="E203" s="3" t="str">
        <f>VLOOKUP(B203,Produits!A:G,3,FALSE)</f>
        <v>Litre</v>
      </c>
      <c r="F203" s="92">
        <f>VLOOKUP(B203,Produits!A:G,7,FALSE)</f>
        <v>3.98</v>
      </c>
      <c r="G203" s="95">
        <f t="shared" ref="G203" si="17">F203*D203</f>
        <v>0.39800000000000002</v>
      </c>
    </row>
    <row r="204" spans="1:7" ht="17" x14ac:dyDescent="0.2">
      <c r="A204" s="12"/>
      <c r="B204" s="90" t="s">
        <v>86</v>
      </c>
      <c r="C204" s="90"/>
      <c r="D204" s="103"/>
      <c r="E204" s="94"/>
      <c r="F204" s="94"/>
      <c r="G204" s="95">
        <f>SUM(G202:G203)</f>
        <v>3.0142790697674422</v>
      </c>
    </row>
    <row r="205" spans="1:7" x14ac:dyDescent="0.2">
      <c r="A205" s="12"/>
      <c r="B205" s="89" t="s">
        <v>138</v>
      </c>
      <c r="C205" s="89"/>
      <c r="D205" s="6">
        <v>12</v>
      </c>
      <c r="E205" s="12"/>
      <c r="F205" s="12"/>
      <c r="G205" s="12"/>
    </row>
    <row r="206" spans="1:7" s="15" customFormat="1" x14ac:dyDescent="0.2">
      <c r="A206" s="12"/>
      <c r="B206" s="89" t="s">
        <v>129</v>
      </c>
      <c r="C206" s="89"/>
      <c r="D206" s="104">
        <f>G204/D205</f>
        <v>0.25118992248062016</v>
      </c>
      <c r="E206" s="12"/>
      <c r="F206" s="12"/>
      <c r="G206" s="12"/>
    </row>
    <row r="208" spans="1:7" s="19" customFormat="1" x14ac:dyDescent="0.2">
      <c r="A208" s="1" t="s">
        <v>114</v>
      </c>
      <c r="B208" s="1" t="s">
        <v>99</v>
      </c>
      <c r="C208" s="1"/>
      <c r="D208" s="10"/>
      <c r="E208" s="1"/>
      <c r="F208" s="7"/>
      <c r="G208" s="7"/>
    </row>
    <row r="209" spans="1:7" ht="17" x14ac:dyDescent="0.2">
      <c r="A209" s="1"/>
      <c r="B209" s="1"/>
      <c r="C209" s="1"/>
      <c r="D209" s="87" t="s">
        <v>82</v>
      </c>
      <c r="E209" s="87" t="s">
        <v>83</v>
      </c>
      <c r="F209" s="87" t="s">
        <v>84</v>
      </c>
      <c r="G209" s="87" t="s">
        <v>85</v>
      </c>
    </row>
    <row r="210" spans="1:7" x14ac:dyDescent="0.2">
      <c r="A210" s="1"/>
      <c r="B210" s="2" t="s">
        <v>354</v>
      </c>
      <c r="C210" s="2"/>
      <c r="D210" s="6">
        <v>2</v>
      </c>
      <c r="E210" s="3" t="e">
        <f>VLOOKUP(B210,Produits!A:G,3,FALSE)</f>
        <v>#N/A</v>
      </c>
      <c r="F210" s="92" t="e">
        <f>VLOOKUP(B210,Produits!A:G,7,FALSE)</f>
        <v>#N/A</v>
      </c>
      <c r="G210" s="95" t="e">
        <f>F210*D210</f>
        <v>#N/A</v>
      </c>
    </row>
    <row r="211" spans="1:7" x14ac:dyDescent="0.2">
      <c r="A211" s="1"/>
      <c r="B211" s="2" t="s">
        <v>29</v>
      </c>
      <c r="C211" s="2"/>
      <c r="D211" s="6">
        <v>1</v>
      </c>
      <c r="E211" s="3" t="str">
        <f>VLOOKUP(B211,Produits!A:G,3,FALSE)</f>
        <v>Pièce</v>
      </c>
      <c r="F211" s="92">
        <f>VLOOKUP(B211,Produits!A:G,7,FALSE)</f>
        <v>1.1125</v>
      </c>
      <c r="G211" s="95">
        <f t="shared" ref="G211:G213" si="18">F211*D211</f>
        <v>1.1125</v>
      </c>
    </row>
    <row r="212" spans="1:7" x14ac:dyDescent="0.2">
      <c r="A212" s="1"/>
      <c r="B212" s="2" t="s">
        <v>100</v>
      </c>
      <c r="C212" s="2"/>
      <c r="D212" s="6">
        <v>1</v>
      </c>
      <c r="E212" s="3" t="str">
        <f>VLOOKUP(B212,Produits!A:G,3,FALSE)</f>
        <v>Pièce</v>
      </c>
      <c r="F212" s="92">
        <f>VLOOKUP(B212,Produits!A:G,7,FALSE)</f>
        <v>0.25747201426024963</v>
      </c>
      <c r="G212" s="95">
        <f t="shared" ref="G212" si="19">F212*D212</f>
        <v>0.25747201426024963</v>
      </c>
    </row>
    <row r="213" spans="1:7" x14ac:dyDescent="0.2">
      <c r="A213" s="1"/>
      <c r="B213" s="2" t="s">
        <v>104</v>
      </c>
      <c r="C213" s="2"/>
      <c r="D213" s="6">
        <v>1</v>
      </c>
      <c r="E213" s="3" t="str">
        <f>VLOOKUP(B213,Produits!A:G,3,FALSE)</f>
        <v>Pièce</v>
      </c>
      <c r="F213" s="92">
        <f>VLOOKUP(B213,Produits!A:G,7,FALSE)</f>
        <v>0.25118992248062016</v>
      </c>
      <c r="G213" s="95">
        <f t="shared" si="18"/>
        <v>0.25118992248062016</v>
      </c>
    </row>
    <row r="214" spans="1:7" ht="17" x14ac:dyDescent="0.2">
      <c r="A214" s="1"/>
      <c r="B214" s="90" t="s">
        <v>86</v>
      </c>
      <c r="C214" s="90"/>
      <c r="D214" s="103"/>
      <c r="E214" s="94"/>
      <c r="F214" s="94"/>
      <c r="G214" s="95" t="e">
        <f>SUM(G210:G213)</f>
        <v>#N/A</v>
      </c>
    </row>
    <row r="215" spans="1:7" x14ac:dyDescent="0.2">
      <c r="A215" s="1"/>
      <c r="B215" s="89" t="s">
        <v>138</v>
      </c>
      <c r="C215" s="89"/>
      <c r="D215" s="6">
        <v>1</v>
      </c>
      <c r="E215" s="1"/>
      <c r="F215" s="1"/>
      <c r="G215" s="1"/>
    </row>
    <row r="216" spans="1:7" s="15" customFormat="1" x14ac:dyDescent="0.2">
      <c r="A216" s="1"/>
      <c r="B216" s="89" t="s">
        <v>129</v>
      </c>
      <c r="C216" s="89"/>
      <c r="D216" s="104" t="e">
        <f>G214/D215</f>
        <v>#N/A</v>
      </c>
      <c r="E216" s="1"/>
      <c r="F216" s="1"/>
      <c r="G216" s="1"/>
    </row>
    <row r="218" spans="1:7" s="19" customFormat="1" x14ac:dyDescent="0.2">
      <c r="A218" s="1" t="s">
        <v>114</v>
      </c>
      <c r="B218" s="1" t="s">
        <v>107</v>
      </c>
      <c r="C218" s="1"/>
      <c r="D218" s="10"/>
      <c r="E218" s="1"/>
      <c r="F218" s="7"/>
      <c r="G218" s="7"/>
    </row>
    <row r="219" spans="1:7" ht="17" x14ac:dyDescent="0.2">
      <c r="A219" s="1"/>
      <c r="B219" s="1"/>
      <c r="C219" s="1"/>
      <c r="D219" s="87" t="s">
        <v>82</v>
      </c>
      <c r="E219" s="87" t="s">
        <v>83</v>
      </c>
      <c r="F219" s="87" t="s">
        <v>84</v>
      </c>
      <c r="G219" s="87" t="s">
        <v>85</v>
      </c>
    </row>
    <row r="220" spans="1:7" x14ac:dyDescent="0.2">
      <c r="A220" s="1"/>
      <c r="B220" s="2" t="s">
        <v>354</v>
      </c>
      <c r="C220" s="2"/>
      <c r="D220" s="6">
        <v>2</v>
      </c>
      <c r="E220" s="3" t="e">
        <f>VLOOKUP(B220,Produits!A:G,3,FALSE)</f>
        <v>#N/A</v>
      </c>
      <c r="F220" s="92" t="e">
        <f>VLOOKUP(B220,Produits!A:G,7,FALSE)</f>
        <v>#N/A</v>
      </c>
      <c r="G220" s="95" t="e">
        <f>F220*D220</f>
        <v>#N/A</v>
      </c>
    </row>
    <row r="221" spans="1:7" x14ac:dyDescent="0.2">
      <c r="A221" s="1"/>
      <c r="B221" s="2" t="s">
        <v>9</v>
      </c>
      <c r="C221" s="2"/>
      <c r="D221" s="6">
        <v>1</v>
      </c>
      <c r="E221" s="3" t="str">
        <f>VLOOKUP(B221,Produits!A:G,3,FALSE)</f>
        <v>Pièce</v>
      </c>
      <c r="F221" s="92">
        <f>VLOOKUP(B221,Produits!A:G,7,FALSE)</f>
        <v>0.35749999999999998</v>
      </c>
      <c r="G221" s="95">
        <f t="shared" ref="G221:G223" si="20">F221*D221</f>
        <v>0.35749999999999998</v>
      </c>
    </row>
    <row r="222" spans="1:7" x14ac:dyDescent="0.2">
      <c r="A222" s="1"/>
      <c r="B222" s="2" t="s">
        <v>67</v>
      </c>
      <c r="C222" s="2"/>
      <c r="D222" s="6">
        <v>0.03</v>
      </c>
      <c r="E222" s="3" t="str">
        <f>VLOOKUP(B222,Produits!A:G,3,FALSE)</f>
        <v>Kilogramme</v>
      </c>
      <c r="F222" s="92">
        <f>VLOOKUP(B222,Produits!A:G,7,FALSE)</f>
        <v>18.875</v>
      </c>
      <c r="G222" s="95">
        <f t="shared" si="20"/>
        <v>0.56625000000000003</v>
      </c>
    </row>
    <row r="223" spans="1:7" x14ac:dyDescent="0.2">
      <c r="A223" s="1"/>
      <c r="B223" s="2" t="s">
        <v>66</v>
      </c>
      <c r="C223" s="2"/>
      <c r="D223" s="6">
        <v>0.05</v>
      </c>
      <c r="E223" s="3" t="str">
        <f>VLOOKUP(B223,Produits!A:G,3,FALSE)</f>
        <v>Kilogramme</v>
      </c>
      <c r="F223" s="92">
        <f>VLOOKUP(B223,Produits!A:G,7,FALSE)</f>
        <v>8.9</v>
      </c>
      <c r="G223" s="95">
        <f t="shared" si="20"/>
        <v>0.44500000000000006</v>
      </c>
    </row>
    <row r="224" spans="1:7" ht="17" x14ac:dyDescent="0.2">
      <c r="A224" s="1"/>
      <c r="B224" s="90" t="s">
        <v>86</v>
      </c>
      <c r="C224" s="90"/>
      <c r="D224" s="103"/>
      <c r="E224" s="94"/>
      <c r="F224" s="94"/>
      <c r="G224" s="95" t="e">
        <f>SUM(G220:G223)</f>
        <v>#N/A</v>
      </c>
    </row>
    <row r="225" spans="1:7" x14ac:dyDescent="0.2">
      <c r="A225" s="1"/>
      <c r="B225" s="89" t="s">
        <v>138</v>
      </c>
      <c r="C225" s="89"/>
      <c r="D225" s="6">
        <v>1</v>
      </c>
      <c r="E225" s="1"/>
      <c r="F225" s="1"/>
      <c r="G225" s="1"/>
    </row>
    <row r="226" spans="1:7" s="15" customFormat="1" x14ac:dyDescent="0.2">
      <c r="A226" s="1"/>
      <c r="B226" s="89" t="s">
        <v>129</v>
      </c>
      <c r="C226" s="89"/>
      <c r="D226" s="104" t="e">
        <f>G224/D225</f>
        <v>#N/A</v>
      </c>
      <c r="E226" s="1"/>
      <c r="F226" s="1"/>
      <c r="G226" s="1"/>
    </row>
    <row r="228" spans="1:7" s="19" customFormat="1" x14ac:dyDescent="0.2">
      <c r="A228" s="12" t="s">
        <v>115</v>
      </c>
      <c r="B228" s="12" t="s">
        <v>109</v>
      </c>
      <c r="C228" s="12"/>
      <c r="D228" s="13"/>
      <c r="E228" s="12"/>
      <c r="F228" s="14"/>
      <c r="G228" s="14"/>
    </row>
    <row r="229" spans="1:7" ht="17" x14ac:dyDescent="0.2">
      <c r="A229" s="12"/>
      <c r="B229" s="12"/>
      <c r="C229" s="12"/>
      <c r="D229" s="87" t="s">
        <v>82</v>
      </c>
      <c r="E229" s="87" t="s">
        <v>83</v>
      </c>
      <c r="F229" s="87" t="s">
        <v>84</v>
      </c>
      <c r="G229" s="87" t="s">
        <v>85</v>
      </c>
    </row>
    <row r="230" spans="1:7" x14ac:dyDescent="0.2">
      <c r="A230" s="12"/>
      <c r="B230" s="2" t="s">
        <v>35</v>
      </c>
      <c r="C230" s="2"/>
      <c r="D230" s="6">
        <v>0.2</v>
      </c>
      <c r="E230" s="3" t="str">
        <f>VLOOKUP(B230,Produits!A:G,3,FALSE)</f>
        <v>Litre</v>
      </c>
      <c r="F230" s="92">
        <f>VLOOKUP(B230,Produits!A:G,7,FALSE)</f>
        <v>3.72</v>
      </c>
      <c r="G230" s="95">
        <f t="shared" ref="G230:G237" si="21">F230*D230</f>
        <v>0.74400000000000011</v>
      </c>
    </row>
    <row r="231" spans="1:7" x14ac:dyDescent="0.2">
      <c r="A231" s="12"/>
      <c r="B231" s="2" t="s">
        <v>33</v>
      </c>
      <c r="C231" s="2"/>
      <c r="D231" s="6">
        <v>0.4</v>
      </c>
      <c r="E231" s="3" t="str">
        <f>VLOOKUP(B231,Produits!A:G,3,FALSE)</f>
        <v>Kilogramme</v>
      </c>
      <c r="F231" s="92">
        <f>VLOOKUP(B231,Produits!A:G,7,FALSE)</f>
        <v>1.345</v>
      </c>
      <c r="G231" s="95">
        <f t="shared" si="21"/>
        <v>0.53800000000000003</v>
      </c>
    </row>
    <row r="232" spans="1:7" x14ac:dyDescent="0.2">
      <c r="A232" s="12"/>
      <c r="B232" s="2" t="s">
        <v>15</v>
      </c>
      <c r="C232" s="2"/>
      <c r="D232" s="6">
        <v>0.01</v>
      </c>
      <c r="E232" s="3" t="str">
        <f>VLOOKUP(B232,Produits!A:G,3,FALSE)</f>
        <v>Kilogramme</v>
      </c>
      <c r="F232" s="92">
        <f>VLOOKUP(B232,Produits!A:G,7,FALSE)</f>
        <v>9.58</v>
      </c>
      <c r="G232" s="95">
        <f t="shared" ref="G232:G236" si="22">F232*D232</f>
        <v>9.5799999999999996E-2</v>
      </c>
    </row>
    <row r="233" spans="1:7" x14ac:dyDescent="0.2">
      <c r="A233" s="12"/>
      <c r="B233" s="2" t="s">
        <v>106</v>
      </c>
      <c r="C233" s="2"/>
      <c r="D233" s="6">
        <v>1</v>
      </c>
      <c r="E233" s="3" t="str">
        <f>VLOOKUP(B233,Produits!A:G,3,FALSE)</f>
        <v>Litre</v>
      </c>
      <c r="F233" s="92">
        <f>VLOOKUP(B233,Produits!A:G,7,FALSE)</f>
        <v>4.49</v>
      </c>
      <c r="G233" s="95">
        <f t="shared" ref="G233" si="23">F233*D233</f>
        <v>4.49</v>
      </c>
    </row>
    <row r="234" spans="1:7" x14ac:dyDescent="0.2">
      <c r="A234" s="12"/>
      <c r="B234" s="2" t="s">
        <v>25</v>
      </c>
      <c r="C234" s="2"/>
      <c r="D234" s="6">
        <v>0.01</v>
      </c>
      <c r="E234" s="3" t="str">
        <f>VLOOKUP(B234,Produits!A:G,3,FALSE)</f>
        <v>Kilogramme</v>
      </c>
      <c r="F234" s="92">
        <f>VLOOKUP(B234,Produits!A:G,7,FALSE)</f>
        <v>66.25</v>
      </c>
      <c r="G234" s="95">
        <f t="shared" ref="G234:G235" si="24">F234*D234</f>
        <v>0.66249999999999998</v>
      </c>
    </row>
    <row r="235" spans="1:7" x14ac:dyDescent="0.2">
      <c r="A235" s="12"/>
      <c r="B235" s="2" t="s">
        <v>18</v>
      </c>
      <c r="C235" s="2"/>
      <c r="D235" s="6">
        <v>1.4999999999999999E-2</v>
      </c>
      <c r="E235" s="3" t="str">
        <f>VLOOKUP(B235,Produits!A:G,3,FALSE)</f>
        <v>Kilogramme</v>
      </c>
      <c r="F235" s="92">
        <f>VLOOKUP(B235,Produits!A:G,7,FALSE)</f>
        <v>50</v>
      </c>
      <c r="G235" s="95">
        <f t="shared" si="24"/>
        <v>0.75</v>
      </c>
    </row>
    <row r="236" spans="1:7" x14ac:dyDescent="0.2">
      <c r="A236" s="12"/>
      <c r="B236" s="2" t="s">
        <v>10</v>
      </c>
      <c r="C236" s="2"/>
      <c r="D236" s="6">
        <v>0.05</v>
      </c>
      <c r="E236" s="3" t="str">
        <f>VLOOKUP(B236,Produits!A:G,3,FALSE)</f>
        <v>Kilogramme</v>
      </c>
      <c r="F236" s="92">
        <f>VLOOKUP(B236,Produits!A:G,7,FALSE)</f>
        <v>1.1000000000000001</v>
      </c>
      <c r="G236" s="95">
        <f t="shared" si="22"/>
        <v>5.5000000000000007E-2</v>
      </c>
    </row>
    <row r="237" spans="1:7" x14ac:dyDescent="0.2">
      <c r="A237" s="12"/>
      <c r="B237" s="2" t="s">
        <v>28</v>
      </c>
      <c r="C237" s="2"/>
      <c r="D237" s="6">
        <v>0.05</v>
      </c>
      <c r="E237" s="3" t="str">
        <f>VLOOKUP(B237,Produits!A:G,3,FALSE)</f>
        <v>Kilogramme</v>
      </c>
      <c r="F237" s="92">
        <f>VLOOKUP(B237,Produits!A:G,7,FALSE)</f>
        <v>114.41176470588235</v>
      </c>
      <c r="G237" s="95">
        <f t="shared" si="21"/>
        <v>5.7205882352941178</v>
      </c>
    </row>
    <row r="238" spans="1:7" ht="17" x14ac:dyDescent="0.2">
      <c r="A238" s="12"/>
      <c r="B238" s="90" t="s">
        <v>86</v>
      </c>
      <c r="C238" s="90"/>
      <c r="D238" s="103"/>
      <c r="E238" s="94"/>
      <c r="F238" s="94"/>
      <c r="G238" s="95">
        <f>SUM(G230:G237)</f>
        <v>13.055888235294118</v>
      </c>
    </row>
    <row r="239" spans="1:7" x14ac:dyDescent="0.2">
      <c r="A239" s="12"/>
      <c r="B239" s="89" t="s">
        <v>138</v>
      </c>
      <c r="C239" s="89"/>
      <c r="D239" s="6">
        <v>25</v>
      </c>
      <c r="E239" s="12"/>
      <c r="F239" s="12"/>
      <c r="G239" s="12"/>
    </row>
    <row r="240" spans="1:7" s="15" customFormat="1" x14ac:dyDescent="0.2">
      <c r="A240" s="12"/>
      <c r="B240" s="89" t="s">
        <v>129</v>
      </c>
      <c r="C240" s="89"/>
      <c r="D240" s="104">
        <f>G238/D239</f>
        <v>0.52223552941176477</v>
      </c>
      <c r="E240" s="12"/>
      <c r="F240" s="12"/>
      <c r="G240" s="12"/>
    </row>
    <row r="242" spans="1:7" s="19" customFormat="1" x14ac:dyDescent="0.2">
      <c r="A242" s="12" t="s">
        <v>115</v>
      </c>
      <c r="B242" s="12" t="s">
        <v>110</v>
      </c>
      <c r="C242" s="12"/>
      <c r="D242" s="13"/>
      <c r="E242" s="12"/>
      <c r="F242" s="14"/>
      <c r="G242" s="14"/>
    </row>
    <row r="243" spans="1:7" ht="17" x14ac:dyDescent="0.2">
      <c r="A243" s="12"/>
      <c r="B243" s="12"/>
      <c r="C243" s="12"/>
      <c r="D243" s="87" t="s">
        <v>82</v>
      </c>
      <c r="E243" s="87" t="s">
        <v>83</v>
      </c>
      <c r="F243" s="87" t="s">
        <v>84</v>
      </c>
      <c r="G243" s="87" t="s">
        <v>85</v>
      </c>
    </row>
    <row r="244" spans="1:7" x14ac:dyDescent="0.2">
      <c r="A244" s="12"/>
      <c r="B244" s="2" t="s">
        <v>111</v>
      </c>
      <c r="C244" s="2"/>
      <c r="D244" s="6">
        <v>0.25</v>
      </c>
      <c r="E244" s="3" t="str">
        <f>VLOOKUP(B244,Produits!A:G,3,FALSE)</f>
        <v>Kilogramme</v>
      </c>
      <c r="F244" s="92">
        <f>VLOOKUP(B244,Produits!A:G,7,FALSE)</f>
        <v>5.16</v>
      </c>
      <c r="G244" s="95">
        <f t="shared" ref="G244:G246" si="25">F244*D244</f>
        <v>1.29</v>
      </c>
    </row>
    <row r="245" spans="1:7" x14ac:dyDescent="0.2">
      <c r="A245" s="12"/>
      <c r="B245" s="2" t="s">
        <v>15</v>
      </c>
      <c r="C245" s="2"/>
      <c r="D245" s="6">
        <v>0.04</v>
      </c>
      <c r="E245" s="3" t="str">
        <f>VLOOKUP(B245,Produits!A:G,3,FALSE)</f>
        <v>Kilogramme</v>
      </c>
      <c r="F245" s="92">
        <f>VLOOKUP(B245,Produits!A:G,7,FALSE)</f>
        <v>9.58</v>
      </c>
      <c r="G245" s="95">
        <f t="shared" si="25"/>
        <v>0.38319999999999999</v>
      </c>
    </row>
    <row r="246" spans="1:7" x14ac:dyDescent="0.2">
      <c r="A246" s="12"/>
      <c r="B246" s="2" t="s">
        <v>16</v>
      </c>
      <c r="C246" s="2"/>
      <c r="D246" s="6">
        <v>0.02</v>
      </c>
      <c r="E246" s="3" t="str">
        <f>VLOOKUP(B246,Produits!A:G,3,FALSE)</f>
        <v>Kilogramme</v>
      </c>
      <c r="F246" s="92">
        <f>VLOOKUP(B246,Produits!A:G,7,FALSE)</f>
        <v>8.18</v>
      </c>
      <c r="G246" s="95">
        <f t="shared" si="25"/>
        <v>0.1636</v>
      </c>
    </row>
    <row r="247" spans="1:7" ht="17" x14ac:dyDescent="0.2">
      <c r="A247" s="12"/>
      <c r="B247" s="90" t="s">
        <v>86</v>
      </c>
      <c r="C247" s="90"/>
      <c r="D247" s="103"/>
      <c r="E247" s="94"/>
      <c r="F247" s="94"/>
      <c r="G247" s="95">
        <f>SUM(G244:G246)</f>
        <v>1.8368</v>
      </c>
    </row>
    <row r="248" spans="1:7" x14ac:dyDescent="0.2">
      <c r="A248" s="12"/>
      <c r="B248" s="89" t="s">
        <v>138</v>
      </c>
      <c r="C248" s="89"/>
      <c r="D248" s="6">
        <v>20</v>
      </c>
      <c r="E248" s="12"/>
      <c r="F248" s="12"/>
      <c r="G248" s="12"/>
    </row>
    <row r="249" spans="1:7" s="15" customFormat="1" x14ac:dyDescent="0.2">
      <c r="A249" s="12"/>
      <c r="B249" s="89" t="s">
        <v>129</v>
      </c>
      <c r="C249" s="89"/>
      <c r="D249" s="104">
        <f>G247/D248</f>
        <v>9.1840000000000005E-2</v>
      </c>
      <c r="E249" s="12"/>
      <c r="F249" s="12"/>
      <c r="G249" s="12"/>
    </row>
    <row r="251" spans="1:7" s="19" customFormat="1" x14ac:dyDescent="0.2">
      <c r="A251" s="1" t="s">
        <v>114</v>
      </c>
      <c r="B251" s="1" t="s">
        <v>108</v>
      </c>
      <c r="C251" s="1"/>
      <c r="D251" s="10"/>
      <c r="E251" s="1"/>
      <c r="F251" s="7"/>
      <c r="G251" s="7"/>
    </row>
    <row r="252" spans="1:7" ht="17" x14ac:dyDescent="0.2">
      <c r="A252" s="1"/>
      <c r="B252" s="1"/>
      <c r="C252" s="1"/>
      <c r="D252" s="87" t="s">
        <v>82</v>
      </c>
      <c r="E252" s="87" t="s">
        <v>83</v>
      </c>
      <c r="F252" s="87" t="s">
        <v>84</v>
      </c>
      <c r="G252" s="87" t="s">
        <v>85</v>
      </c>
    </row>
    <row r="253" spans="1:7" x14ac:dyDescent="0.2">
      <c r="A253" s="1"/>
      <c r="B253" s="2" t="s">
        <v>354</v>
      </c>
      <c r="C253" s="2"/>
      <c r="D253" s="6">
        <v>1</v>
      </c>
      <c r="E253" s="3" t="e">
        <f>VLOOKUP(B253,Produits!A:G,3,FALSE)</f>
        <v>#N/A</v>
      </c>
      <c r="F253" s="92" t="e">
        <f>VLOOKUP(B253,Produits!A:G,7,FALSE)</f>
        <v>#N/A</v>
      </c>
      <c r="G253" s="95" t="e">
        <f>F253*D253</f>
        <v>#N/A</v>
      </c>
    </row>
    <row r="254" spans="1:7" x14ac:dyDescent="0.2">
      <c r="A254" s="1"/>
      <c r="B254" s="2" t="s">
        <v>109</v>
      </c>
      <c r="C254" s="2"/>
      <c r="D254" s="6">
        <v>1</v>
      </c>
      <c r="E254" s="3" t="str">
        <f>VLOOKUP(B254,Produits!A:G,3,FALSE)</f>
        <v>Pièce</v>
      </c>
      <c r="F254" s="92">
        <f>VLOOKUP(B254,Produits!A:G,7,FALSE)</f>
        <v>0.52223552941176477</v>
      </c>
      <c r="G254" s="95">
        <f t="shared" ref="G254:G255" si="26">F254*D254</f>
        <v>0.52223552941176477</v>
      </c>
    </row>
    <row r="255" spans="1:7" x14ac:dyDescent="0.2">
      <c r="A255" s="1"/>
      <c r="B255" s="2" t="s">
        <v>110</v>
      </c>
      <c r="C255" s="2"/>
      <c r="D255" s="6">
        <v>1</v>
      </c>
      <c r="E255" s="3" t="str">
        <f>VLOOKUP(B255,Produits!A:G,3,FALSE)</f>
        <v>Pièce</v>
      </c>
      <c r="F255" s="92">
        <f>VLOOKUP(B255,Produits!A:G,7,FALSE)</f>
        <v>9.1840000000000005E-2</v>
      </c>
      <c r="G255" s="95">
        <f t="shared" si="26"/>
        <v>9.1840000000000005E-2</v>
      </c>
    </row>
    <row r="256" spans="1:7" ht="17" x14ac:dyDescent="0.2">
      <c r="A256" s="1"/>
      <c r="B256" s="90" t="s">
        <v>86</v>
      </c>
      <c r="C256" s="90"/>
      <c r="D256" s="103"/>
      <c r="E256" s="94"/>
      <c r="F256" s="94"/>
      <c r="G256" s="95" t="e">
        <f>SUM(G253:G255)</f>
        <v>#N/A</v>
      </c>
    </row>
    <row r="257" spans="1:7" x14ac:dyDescent="0.2">
      <c r="A257" s="1"/>
      <c r="B257" s="89" t="s">
        <v>138</v>
      </c>
      <c r="C257" s="89"/>
      <c r="D257" s="6">
        <v>1</v>
      </c>
      <c r="E257" s="1"/>
      <c r="F257" s="1"/>
      <c r="G257" s="1"/>
    </row>
    <row r="258" spans="1:7" s="15" customFormat="1" x14ac:dyDescent="0.2">
      <c r="A258" s="1"/>
      <c r="B258" s="89" t="s">
        <v>129</v>
      </c>
      <c r="C258" s="89"/>
      <c r="D258" s="104" t="e">
        <f>G256/D257</f>
        <v>#N/A</v>
      </c>
      <c r="E258" s="1"/>
      <c r="F258" s="1"/>
      <c r="G258" s="1"/>
    </row>
    <row r="260" spans="1:7" s="19" customFormat="1" x14ac:dyDescent="0.2">
      <c r="A260" s="16" t="s">
        <v>118</v>
      </c>
      <c r="B260" s="16" t="s">
        <v>116</v>
      </c>
      <c r="C260" s="16"/>
      <c r="D260" s="17"/>
      <c r="E260" s="16"/>
      <c r="F260" s="18"/>
      <c r="G260" s="18"/>
    </row>
    <row r="261" spans="1:7" ht="17" x14ac:dyDescent="0.2">
      <c r="A261" s="16"/>
      <c r="B261" s="16"/>
      <c r="C261" s="16"/>
      <c r="D261" s="87" t="s">
        <v>82</v>
      </c>
      <c r="E261" s="87" t="s">
        <v>83</v>
      </c>
      <c r="F261" s="87" t="s">
        <v>84</v>
      </c>
      <c r="G261" s="87" t="s">
        <v>85</v>
      </c>
    </row>
    <row r="262" spans="1:7" x14ac:dyDescent="0.2">
      <c r="A262" s="16"/>
      <c r="B262" s="2" t="s">
        <v>117</v>
      </c>
      <c r="C262" s="2"/>
      <c r="D262" s="6">
        <v>0.04</v>
      </c>
      <c r="E262" s="3" t="str">
        <f>VLOOKUP(B262,Produits!A:G,3,FALSE)</f>
        <v>Litre</v>
      </c>
      <c r="F262" s="92">
        <f>VLOOKUP(B262,Produits!A:G,7,FALSE)</f>
        <v>10.5</v>
      </c>
      <c r="G262" s="95">
        <f>F262*D262</f>
        <v>0.42</v>
      </c>
    </row>
    <row r="263" spans="1:7" x14ac:dyDescent="0.2">
      <c r="A263" s="16"/>
      <c r="B263" s="2" t="s">
        <v>119</v>
      </c>
      <c r="C263" s="2"/>
      <c r="D263" s="6">
        <v>0.16</v>
      </c>
      <c r="E263" s="3" t="str">
        <f>VLOOKUP(B263,Produits!A:G,3,FALSE)</f>
        <v>Litre</v>
      </c>
      <c r="F263" s="92">
        <f>VLOOKUP(B263,Produits!A:G,7,FALSE)</f>
        <v>2.52</v>
      </c>
      <c r="G263" s="95">
        <f t="shared" ref="G263" si="27">F263*D263</f>
        <v>0.4032</v>
      </c>
    </row>
    <row r="264" spans="1:7" ht="17" x14ac:dyDescent="0.2">
      <c r="A264" s="16"/>
      <c r="B264" s="90" t="s">
        <v>86</v>
      </c>
      <c r="C264" s="90"/>
      <c r="D264" s="103"/>
      <c r="E264" s="94"/>
      <c r="F264" s="94"/>
      <c r="G264" s="95">
        <f>SUM(G261:G263)</f>
        <v>0.82319999999999993</v>
      </c>
    </row>
    <row r="265" spans="1:7" x14ac:dyDescent="0.2">
      <c r="A265" s="16"/>
      <c r="B265" s="89" t="s">
        <v>138</v>
      </c>
      <c r="C265" s="89"/>
      <c r="D265" s="6">
        <v>1</v>
      </c>
      <c r="E265" s="16"/>
      <c r="F265" s="16"/>
      <c r="G265" s="16"/>
    </row>
    <row r="266" spans="1:7" s="15" customFormat="1" x14ac:dyDescent="0.2">
      <c r="A266" s="16"/>
      <c r="B266" s="89" t="s">
        <v>129</v>
      </c>
      <c r="C266" s="89"/>
      <c r="D266" s="104">
        <f>G264/D265</f>
        <v>0.82319999999999993</v>
      </c>
      <c r="E266" s="16"/>
      <c r="F266" s="16"/>
      <c r="G266" s="16"/>
    </row>
    <row r="268" spans="1:7" s="19" customFormat="1" x14ac:dyDescent="0.2">
      <c r="A268" s="16" t="s">
        <v>118</v>
      </c>
      <c r="B268" s="16" t="s">
        <v>120</v>
      </c>
      <c r="C268" s="16"/>
      <c r="D268" s="17"/>
      <c r="E268" s="16"/>
      <c r="F268" s="18"/>
      <c r="G268" s="18"/>
    </row>
    <row r="269" spans="1:7" ht="17" x14ac:dyDescent="0.2">
      <c r="A269" s="16"/>
      <c r="B269" s="16"/>
      <c r="C269" s="16"/>
      <c r="D269" s="87" t="s">
        <v>82</v>
      </c>
      <c r="E269" s="87" t="s">
        <v>83</v>
      </c>
      <c r="F269" s="87" t="s">
        <v>84</v>
      </c>
      <c r="G269" s="87" t="s">
        <v>85</v>
      </c>
    </row>
    <row r="270" spans="1:7" x14ac:dyDescent="0.2">
      <c r="A270" s="16"/>
      <c r="B270" s="2" t="s">
        <v>117</v>
      </c>
      <c r="C270" s="2"/>
      <c r="D270" s="6">
        <v>0.04</v>
      </c>
      <c r="E270" s="3" t="str">
        <f>VLOOKUP(B270,Produits!A:G,3,FALSE)</f>
        <v>Litre</v>
      </c>
      <c r="F270" s="92">
        <f>VLOOKUP(B270,Produits!A:G,7,FALSE)</f>
        <v>10.5</v>
      </c>
      <c r="G270" s="95">
        <f>F270*D270</f>
        <v>0.42</v>
      </c>
    </row>
    <row r="271" spans="1:7" x14ac:dyDescent="0.2">
      <c r="A271" s="16"/>
      <c r="B271" s="2" t="s">
        <v>35</v>
      </c>
      <c r="C271" s="2"/>
      <c r="D271" s="6">
        <v>0.16</v>
      </c>
      <c r="E271" s="3" t="str">
        <f>VLOOKUP(B271,Produits!A:G,3,FALSE)</f>
        <v>Litre</v>
      </c>
      <c r="F271" s="92">
        <f>VLOOKUP(B271,Produits!A:G,7,FALSE)</f>
        <v>3.72</v>
      </c>
      <c r="G271" s="95">
        <f t="shared" ref="G271" si="28">F271*D271</f>
        <v>0.59520000000000006</v>
      </c>
    </row>
    <row r="272" spans="1:7" ht="17" x14ac:dyDescent="0.2">
      <c r="A272" s="16"/>
      <c r="B272" s="90" t="s">
        <v>86</v>
      </c>
      <c r="C272" s="90"/>
      <c r="D272" s="103"/>
      <c r="E272" s="94"/>
      <c r="F272" s="94"/>
      <c r="G272" s="95">
        <f>SUM(G269:G271)</f>
        <v>1.0152000000000001</v>
      </c>
    </row>
    <row r="273" spans="1:7" x14ac:dyDescent="0.2">
      <c r="A273" s="16"/>
      <c r="B273" s="89" t="s">
        <v>138</v>
      </c>
      <c r="C273" s="89"/>
      <c r="D273" s="6">
        <v>1</v>
      </c>
      <c r="E273" s="16"/>
      <c r="F273" s="16"/>
      <c r="G273" s="16"/>
    </row>
    <row r="274" spans="1:7" s="15" customFormat="1" x14ac:dyDescent="0.2">
      <c r="A274" s="16"/>
      <c r="B274" s="89" t="s">
        <v>129</v>
      </c>
      <c r="C274" s="89"/>
      <c r="D274" s="104">
        <f>G272/D273</f>
        <v>1.0152000000000001</v>
      </c>
      <c r="E274" s="16"/>
      <c r="F274" s="16"/>
      <c r="G274" s="16"/>
    </row>
    <row r="276" spans="1:7" s="19" customFormat="1" x14ac:dyDescent="0.2">
      <c r="A276" s="16" t="s">
        <v>118</v>
      </c>
      <c r="B276" s="16" t="s">
        <v>126</v>
      </c>
      <c r="C276" s="16"/>
      <c r="D276" s="17"/>
      <c r="E276" s="16"/>
      <c r="F276" s="18"/>
      <c r="G276" s="18"/>
    </row>
    <row r="277" spans="1:7" ht="17" x14ac:dyDescent="0.2">
      <c r="A277" s="16"/>
      <c r="B277" s="16"/>
      <c r="C277" s="16"/>
      <c r="D277" s="87" t="s">
        <v>82</v>
      </c>
      <c r="E277" s="87" t="s">
        <v>83</v>
      </c>
      <c r="F277" s="87" t="s">
        <v>84</v>
      </c>
      <c r="G277" s="87" t="s">
        <v>85</v>
      </c>
    </row>
    <row r="278" spans="1:7" x14ac:dyDescent="0.2">
      <c r="A278" s="16"/>
      <c r="B278" s="2" t="s">
        <v>37</v>
      </c>
      <c r="C278" s="2"/>
      <c r="D278" s="6">
        <v>0.2</v>
      </c>
      <c r="E278" s="3" t="str">
        <f>VLOOKUP(B278,Produits!A:G,3,FALSE)</f>
        <v>Litre</v>
      </c>
      <c r="F278" s="92">
        <f>VLOOKUP(B278,Produits!A:G,7,FALSE)</f>
        <v>2.6666666666666665</v>
      </c>
      <c r="G278" s="95">
        <f>F278*D278</f>
        <v>0.53333333333333333</v>
      </c>
    </row>
    <row r="279" spans="1:7" ht="17" x14ac:dyDescent="0.2">
      <c r="A279" s="16"/>
      <c r="B279" s="90" t="s">
        <v>86</v>
      </c>
      <c r="C279" s="90"/>
      <c r="D279" s="103"/>
      <c r="E279" s="94"/>
      <c r="F279" s="94"/>
      <c r="G279" s="95">
        <f>SUM(G277:G278)</f>
        <v>0.53333333333333333</v>
      </c>
    </row>
    <row r="280" spans="1:7" x14ac:dyDescent="0.2">
      <c r="A280" s="16"/>
      <c r="B280" s="89" t="s">
        <v>138</v>
      </c>
      <c r="C280" s="89"/>
      <c r="D280" s="6">
        <v>1</v>
      </c>
      <c r="E280" s="16"/>
      <c r="F280" s="16"/>
      <c r="G280" s="16"/>
    </row>
    <row r="281" spans="1:7" s="15" customFormat="1" x14ac:dyDescent="0.2">
      <c r="A281" s="16"/>
      <c r="B281" s="89" t="s">
        <v>129</v>
      </c>
      <c r="C281" s="89"/>
      <c r="D281" s="104">
        <f>G279/D280</f>
        <v>0.53333333333333333</v>
      </c>
      <c r="E281" s="16"/>
      <c r="F281" s="16"/>
      <c r="G281" s="16"/>
    </row>
    <row r="283" spans="1:7" s="19" customFormat="1" x14ac:dyDescent="0.2">
      <c r="A283" s="16" t="s">
        <v>131</v>
      </c>
      <c r="B283" s="16" t="s">
        <v>121</v>
      </c>
      <c r="C283" s="16"/>
      <c r="D283" s="17"/>
      <c r="E283" s="16"/>
      <c r="F283" s="18"/>
      <c r="G283" s="18"/>
    </row>
    <row r="284" spans="1:7" ht="17" x14ac:dyDescent="0.2">
      <c r="A284" s="16"/>
      <c r="B284" s="16"/>
      <c r="C284" s="16"/>
      <c r="D284" s="87" t="s">
        <v>82</v>
      </c>
      <c r="E284" s="87" t="s">
        <v>83</v>
      </c>
      <c r="F284" s="87" t="s">
        <v>84</v>
      </c>
      <c r="G284" s="87" t="s">
        <v>85</v>
      </c>
    </row>
    <row r="285" spans="1:7" x14ac:dyDescent="0.2">
      <c r="A285" s="16"/>
      <c r="B285" s="2" t="s">
        <v>39</v>
      </c>
      <c r="C285" s="2"/>
      <c r="D285" s="6">
        <v>0.2</v>
      </c>
      <c r="E285" s="3" t="str">
        <f>VLOOKUP(B285,Produits!A:G,3,FALSE)</f>
        <v>Litre</v>
      </c>
      <c r="F285" s="92">
        <f>VLOOKUP(B285,Produits!A:G,7,FALSE)</f>
        <v>2.59</v>
      </c>
      <c r="G285" s="95">
        <f>F285*D285</f>
        <v>0.51800000000000002</v>
      </c>
    </row>
    <row r="286" spans="1:7" x14ac:dyDescent="0.2">
      <c r="A286" s="16"/>
      <c r="B286" s="2" t="s">
        <v>40</v>
      </c>
      <c r="C286" s="2"/>
      <c r="D286" s="6">
        <v>0.2</v>
      </c>
      <c r="E286" s="3" t="str">
        <f>VLOOKUP(B286,Produits!A:G,3,FALSE)</f>
        <v>Litre</v>
      </c>
      <c r="F286" s="92">
        <f>VLOOKUP(B286,Produits!A:G,7,FALSE)</f>
        <v>3.55</v>
      </c>
      <c r="G286" s="95">
        <f t="shared" ref="G286" si="29">F286*D286</f>
        <v>0.71</v>
      </c>
    </row>
    <row r="287" spans="1:7" x14ac:dyDescent="0.2">
      <c r="A287" s="16"/>
      <c r="B287" s="2" t="s">
        <v>41</v>
      </c>
      <c r="C287" s="2"/>
      <c r="D287" s="6">
        <v>0.2</v>
      </c>
      <c r="E287" s="3" t="str">
        <f>VLOOKUP(B287,Produits!A:G,3,FALSE)</f>
        <v>Litre</v>
      </c>
      <c r="F287" s="92">
        <f>VLOOKUP(B287,Produits!A:G,7,FALSE)</f>
        <v>5.0714285714285712</v>
      </c>
      <c r="G287" s="95">
        <f t="shared" ref="G287" si="30">F287*D287</f>
        <v>1.0142857142857142</v>
      </c>
    </row>
    <row r="288" spans="1:7" ht="17" x14ac:dyDescent="0.2">
      <c r="A288" s="16"/>
      <c r="B288" s="90" t="s">
        <v>86</v>
      </c>
      <c r="C288" s="90"/>
      <c r="D288" s="103"/>
      <c r="E288" s="94"/>
      <c r="F288" s="94"/>
      <c r="G288" s="95">
        <f>SUM(G284:G287)</f>
        <v>2.242285714285714</v>
      </c>
    </row>
    <row r="289" spans="1:7" x14ac:dyDescent="0.2">
      <c r="A289" s="16"/>
      <c r="B289" s="89" t="s">
        <v>138</v>
      </c>
      <c r="C289" s="89"/>
      <c r="D289" s="6">
        <v>3</v>
      </c>
      <c r="E289" s="16"/>
      <c r="F289" s="16"/>
      <c r="G289" s="16"/>
    </row>
    <row r="290" spans="1:7" s="15" customFormat="1" x14ac:dyDescent="0.2">
      <c r="A290" s="16"/>
      <c r="B290" s="89" t="s">
        <v>129</v>
      </c>
      <c r="C290" s="89"/>
      <c r="D290" s="104">
        <f>G288/D289</f>
        <v>0.74742857142857133</v>
      </c>
      <c r="E290" s="16"/>
      <c r="F290" s="16"/>
      <c r="G290" s="16"/>
    </row>
    <row r="292" spans="1:7" s="19" customFormat="1" x14ac:dyDescent="0.2">
      <c r="A292" s="16" t="s">
        <v>131</v>
      </c>
      <c r="B292" s="16" t="s">
        <v>122</v>
      </c>
      <c r="C292" s="16"/>
      <c r="D292" s="17"/>
      <c r="E292" s="16"/>
      <c r="F292" s="18"/>
      <c r="G292" s="18"/>
    </row>
    <row r="293" spans="1:7" ht="17" x14ac:dyDescent="0.2">
      <c r="A293" s="16"/>
      <c r="B293" s="16"/>
      <c r="C293" s="16"/>
      <c r="D293" s="87" t="s">
        <v>82</v>
      </c>
      <c r="E293" s="87" t="s">
        <v>83</v>
      </c>
      <c r="F293" s="87" t="s">
        <v>84</v>
      </c>
      <c r="G293" s="87" t="s">
        <v>85</v>
      </c>
    </row>
    <row r="294" spans="1:7" x14ac:dyDescent="0.2">
      <c r="A294" s="16"/>
      <c r="B294" s="2" t="s">
        <v>127</v>
      </c>
      <c r="C294" s="2"/>
      <c r="D294" s="6">
        <v>2.5000000000000001E-2</v>
      </c>
      <c r="E294" s="3" t="str">
        <f>VLOOKUP(B294,Produits!A:G,3,FALSE)</f>
        <v>Litre</v>
      </c>
      <c r="F294" s="92">
        <f>VLOOKUP(B294,Produits!A:G,7,FALSE)</f>
        <v>2.52</v>
      </c>
      <c r="G294" s="95">
        <f>F294*D294</f>
        <v>6.3E-2</v>
      </c>
    </row>
    <row r="295" spans="1:7" ht="17" x14ac:dyDescent="0.2">
      <c r="A295" s="16"/>
      <c r="B295" s="90" t="s">
        <v>86</v>
      </c>
      <c r="C295" s="90"/>
      <c r="D295" s="103"/>
      <c r="E295" s="94"/>
      <c r="F295" s="94"/>
      <c r="G295" s="95">
        <f>SUM(G293:G294)</f>
        <v>6.3E-2</v>
      </c>
    </row>
    <row r="296" spans="1:7" x14ac:dyDescent="0.2">
      <c r="A296" s="16"/>
      <c r="B296" s="89" t="s">
        <v>138</v>
      </c>
      <c r="C296" s="89"/>
      <c r="D296" s="6">
        <v>1</v>
      </c>
      <c r="E296" s="16"/>
      <c r="F296" s="16"/>
      <c r="G296" s="16"/>
    </row>
    <row r="297" spans="1:7" s="15" customFormat="1" x14ac:dyDescent="0.2">
      <c r="A297" s="16"/>
      <c r="B297" s="89" t="s">
        <v>129</v>
      </c>
      <c r="C297" s="89"/>
      <c r="D297" s="104">
        <f>G295/D296</f>
        <v>6.3E-2</v>
      </c>
      <c r="E297" s="16"/>
      <c r="F297" s="16"/>
      <c r="G297" s="16"/>
    </row>
    <row r="299" spans="1:7" s="19" customFormat="1" x14ac:dyDescent="0.2">
      <c r="A299" s="16" t="s">
        <v>131</v>
      </c>
      <c r="B299" s="16" t="s">
        <v>380</v>
      </c>
      <c r="C299" s="16"/>
      <c r="D299" s="17"/>
      <c r="E299" s="16"/>
      <c r="F299" s="18"/>
      <c r="G299" s="18"/>
    </row>
    <row r="300" spans="1:7" ht="17" x14ac:dyDescent="0.2">
      <c r="A300" s="16"/>
      <c r="B300" s="16"/>
      <c r="C300" s="16"/>
      <c r="D300" s="87" t="s">
        <v>82</v>
      </c>
      <c r="E300" s="87" t="s">
        <v>83</v>
      </c>
      <c r="F300" s="87" t="s">
        <v>84</v>
      </c>
      <c r="G300" s="87" t="s">
        <v>85</v>
      </c>
    </row>
    <row r="301" spans="1:7" x14ac:dyDescent="0.2">
      <c r="A301" s="16"/>
      <c r="B301" s="2" t="s">
        <v>43</v>
      </c>
      <c r="C301" s="2"/>
      <c r="D301" s="6">
        <v>0.2</v>
      </c>
      <c r="E301" s="3" t="str">
        <f>VLOOKUP(B301,Produits!A:G,3,FALSE)</f>
        <v>Litre</v>
      </c>
      <c r="F301" s="92">
        <f>VLOOKUP(B301,Produits!A:G,7,FALSE)</f>
        <v>1.1666666666666667</v>
      </c>
      <c r="G301" s="95">
        <f>F301*D301</f>
        <v>0.23333333333333336</v>
      </c>
    </row>
    <row r="302" spans="1:7" ht="17" x14ac:dyDescent="0.2">
      <c r="A302" s="16"/>
      <c r="B302" s="90" t="s">
        <v>86</v>
      </c>
      <c r="C302" s="90"/>
      <c r="D302" s="103"/>
      <c r="E302" s="94"/>
      <c r="F302" s="94"/>
      <c r="G302" s="95">
        <f>SUM(G300:G301)</f>
        <v>0.23333333333333336</v>
      </c>
    </row>
    <row r="303" spans="1:7" x14ac:dyDescent="0.2">
      <c r="A303" s="16"/>
      <c r="B303" s="89" t="s">
        <v>138</v>
      </c>
      <c r="C303" s="89"/>
      <c r="D303" s="6">
        <v>1</v>
      </c>
      <c r="E303" s="16"/>
      <c r="F303" s="16"/>
      <c r="G303" s="16"/>
    </row>
    <row r="304" spans="1:7" s="15" customFormat="1" x14ac:dyDescent="0.2">
      <c r="A304" s="16"/>
      <c r="B304" s="89" t="s">
        <v>129</v>
      </c>
      <c r="C304" s="89"/>
      <c r="D304" s="104">
        <f>G302/D303</f>
        <v>0.23333333333333336</v>
      </c>
      <c r="E304" s="16"/>
      <c r="F304" s="16"/>
      <c r="G304" s="16"/>
    </row>
    <row r="306" spans="1:7" s="19" customFormat="1" x14ac:dyDescent="0.2">
      <c r="A306" s="16" t="s">
        <v>131</v>
      </c>
      <c r="B306" s="16" t="s">
        <v>123</v>
      </c>
      <c r="C306" s="16"/>
      <c r="D306" s="17"/>
      <c r="E306" s="16"/>
      <c r="F306" s="18"/>
      <c r="G306" s="18"/>
    </row>
    <row r="307" spans="1:7" ht="17" x14ac:dyDescent="0.2">
      <c r="A307" s="16"/>
      <c r="B307" s="16"/>
      <c r="C307" s="16"/>
      <c r="D307" s="87" t="s">
        <v>82</v>
      </c>
      <c r="E307" s="87" t="s">
        <v>83</v>
      </c>
      <c r="F307" s="87" t="s">
        <v>84</v>
      </c>
      <c r="G307" s="87" t="s">
        <v>85</v>
      </c>
    </row>
    <row r="308" spans="1:7" x14ac:dyDescent="0.2">
      <c r="A308" s="16"/>
      <c r="B308" s="2" t="s">
        <v>8</v>
      </c>
      <c r="C308" s="2"/>
      <c r="D308" s="6">
        <v>0.2</v>
      </c>
      <c r="E308" s="3" t="str">
        <f>VLOOKUP(B308,Produits!A:G,3,FALSE)</f>
        <v>Litre</v>
      </c>
      <c r="F308" s="92">
        <f>VLOOKUP(B308,Produits!A:G,7,FALSE)</f>
        <v>1.46</v>
      </c>
      <c r="G308" s="95">
        <f>F308*D308</f>
        <v>0.29199999999999998</v>
      </c>
    </row>
    <row r="309" spans="1:7" ht="17" x14ac:dyDescent="0.2">
      <c r="A309" s="16"/>
      <c r="B309" s="90" t="s">
        <v>86</v>
      </c>
      <c r="C309" s="90"/>
      <c r="D309" s="103"/>
      <c r="E309" s="94"/>
      <c r="F309" s="94"/>
      <c r="G309" s="95">
        <f>SUM(G307:G308)</f>
        <v>0.29199999999999998</v>
      </c>
    </row>
    <row r="310" spans="1:7" x14ac:dyDescent="0.2">
      <c r="A310" s="16"/>
      <c r="B310" s="89" t="s">
        <v>138</v>
      </c>
      <c r="C310" s="89"/>
      <c r="D310" s="6">
        <v>1</v>
      </c>
      <c r="E310" s="16"/>
      <c r="F310" s="16"/>
      <c r="G310" s="16"/>
    </row>
    <row r="311" spans="1:7" s="15" customFormat="1" x14ac:dyDescent="0.2">
      <c r="A311" s="16"/>
      <c r="B311" s="89" t="s">
        <v>129</v>
      </c>
      <c r="C311" s="89"/>
      <c r="D311" s="104">
        <f>G309/D310</f>
        <v>0.29199999999999998</v>
      </c>
      <c r="E311" s="16"/>
      <c r="F311" s="16"/>
      <c r="G311" s="16"/>
    </row>
    <row r="313" spans="1:7" s="19" customFormat="1" x14ac:dyDescent="0.2">
      <c r="A313" s="16" t="s">
        <v>131</v>
      </c>
      <c r="B313" s="16" t="s">
        <v>124</v>
      </c>
      <c r="C313" s="16"/>
      <c r="D313" s="17"/>
      <c r="E313" s="16"/>
      <c r="F313" s="18"/>
      <c r="G313" s="18"/>
    </row>
    <row r="314" spans="1:7" ht="17" x14ac:dyDescent="0.2">
      <c r="A314" s="16"/>
      <c r="B314" s="16"/>
      <c r="C314" s="16"/>
      <c r="D314" s="87" t="s">
        <v>82</v>
      </c>
      <c r="E314" s="87" t="s">
        <v>83</v>
      </c>
      <c r="F314" s="87" t="s">
        <v>84</v>
      </c>
      <c r="G314" s="87" t="s">
        <v>85</v>
      </c>
    </row>
    <row r="315" spans="1:7" x14ac:dyDescent="0.2">
      <c r="A315" s="16"/>
      <c r="B315" s="2" t="s">
        <v>42</v>
      </c>
      <c r="C315" s="2"/>
      <c r="D315" s="6">
        <v>0.03</v>
      </c>
      <c r="E315" s="3" t="str">
        <f>VLOOKUP(B315,Produits!A:G,3,FALSE)</f>
        <v>Litre</v>
      </c>
      <c r="F315" s="92">
        <f>VLOOKUP(B315,Produits!A:G,7,FALSE)</f>
        <v>5.0714285714285712</v>
      </c>
      <c r="G315" s="95">
        <f>F315*D315</f>
        <v>0.15214285714285714</v>
      </c>
    </row>
    <row r="316" spans="1:7" x14ac:dyDescent="0.2">
      <c r="A316" s="16"/>
      <c r="B316" s="2" t="s">
        <v>8</v>
      </c>
      <c r="C316" s="2"/>
      <c r="D316" s="6">
        <v>0.2</v>
      </c>
      <c r="E316" s="3" t="str">
        <f>VLOOKUP(B316,Produits!A:G,3,FALSE)</f>
        <v>Litre</v>
      </c>
      <c r="F316" s="92">
        <f>VLOOKUP(B316,Produits!A:G,7,FALSE)</f>
        <v>1.46</v>
      </c>
      <c r="G316" s="95">
        <f>F316*D316</f>
        <v>0.29199999999999998</v>
      </c>
    </row>
    <row r="317" spans="1:7" ht="17" x14ac:dyDescent="0.2">
      <c r="A317" s="16"/>
      <c r="B317" s="90" t="s">
        <v>86</v>
      </c>
      <c r="C317" s="90"/>
      <c r="D317" s="103"/>
      <c r="E317" s="94"/>
      <c r="F317" s="94"/>
      <c r="G317" s="95">
        <f>SUM(G314:G316)</f>
        <v>0.44414285714285712</v>
      </c>
    </row>
    <row r="318" spans="1:7" x14ac:dyDescent="0.2">
      <c r="A318" s="16"/>
      <c r="B318" s="89" t="s">
        <v>138</v>
      </c>
      <c r="C318" s="89"/>
      <c r="D318" s="6">
        <v>1</v>
      </c>
      <c r="E318" s="16"/>
      <c r="F318" s="16"/>
      <c r="G318" s="16"/>
    </row>
    <row r="319" spans="1:7" s="15" customFormat="1" x14ac:dyDescent="0.2">
      <c r="A319" s="16"/>
      <c r="B319" s="89" t="s">
        <v>129</v>
      </c>
      <c r="C319" s="89"/>
      <c r="D319" s="104">
        <f>G317/D318</f>
        <v>0.44414285714285712</v>
      </c>
      <c r="E319" s="16"/>
      <c r="F319" s="16"/>
      <c r="G319" s="16"/>
    </row>
    <row r="321" spans="1:7" s="19" customFormat="1" x14ac:dyDescent="0.2">
      <c r="A321" s="16" t="s">
        <v>131</v>
      </c>
      <c r="B321" s="16" t="s">
        <v>125</v>
      </c>
      <c r="C321" s="16"/>
      <c r="D321" s="17"/>
      <c r="E321" s="16"/>
      <c r="F321" s="18"/>
      <c r="G321" s="18"/>
    </row>
    <row r="322" spans="1:7" ht="17" x14ac:dyDescent="0.2">
      <c r="A322" s="16"/>
      <c r="B322" s="16"/>
      <c r="C322" s="16"/>
      <c r="D322" s="87" t="s">
        <v>82</v>
      </c>
      <c r="E322" s="87" t="s">
        <v>83</v>
      </c>
      <c r="F322" s="87" t="s">
        <v>84</v>
      </c>
      <c r="G322" s="87" t="s">
        <v>85</v>
      </c>
    </row>
    <row r="323" spans="1:7" x14ac:dyDescent="0.2">
      <c r="A323" s="16"/>
      <c r="B323" s="2" t="s">
        <v>119</v>
      </c>
      <c r="C323" s="2"/>
      <c r="D323" s="6">
        <v>2.5000000000000001E-2</v>
      </c>
      <c r="E323" s="3" t="str">
        <f>VLOOKUP(B323,Produits!A:G,3,FALSE)</f>
        <v>Litre</v>
      </c>
      <c r="F323" s="92">
        <f>VLOOKUP(B323,Produits!A:G,7,FALSE)</f>
        <v>2.52</v>
      </c>
      <c r="G323" s="95">
        <f>F323*D323</f>
        <v>6.3E-2</v>
      </c>
    </row>
    <row r="324" spans="1:7" ht="17" x14ac:dyDescent="0.2">
      <c r="A324" s="16"/>
      <c r="B324" s="90" t="s">
        <v>86</v>
      </c>
      <c r="C324" s="90"/>
      <c r="D324" s="103"/>
      <c r="E324" s="94"/>
      <c r="F324" s="94"/>
      <c r="G324" s="95">
        <f>SUM(G322:G323)</f>
        <v>6.3E-2</v>
      </c>
    </row>
    <row r="325" spans="1:7" x14ac:dyDescent="0.2">
      <c r="A325" s="16"/>
      <c r="B325" s="89" t="s">
        <v>138</v>
      </c>
      <c r="C325" s="89"/>
      <c r="D325" s="6">
        <v>1</v>
      </c>
      <c r="E325" s="16"/>
      <c r="F325" s="16"/>
      <c r="G325" s="16"/>
    </row>
    <row r="326" spans="1:7" s="15" customFormat="1" x14ac:dyDescent="0.2">
      <c r="A326" s="16"/>
      <c r="B326" s="89" t="s">
        <v>129</v>
      </c>
      <c r="C326" s="89"/>
      <c r="D326" s="104">
        <f>G324/D325</f>
        <v>6.3E-2</v>
      </c>
      <c r="E326" s="16"/>
      <c r="F326" s="16"/>
      <c r="G326" s="16"/>
    </row>
    <row r="328" spans="1:7" s="19" customFormat="1" x14ac:dyDescent="0.2">
      <c r="A328" s="74" t="s">
        <v>154</v>
      </c>
      <c r="B328" s="74" t="s">
        <v>157</v>
      </c>
      <c r="C328" s="74"/>
      <c r="D328" s="75"/>
      <c r="E328" s="74"/>
      <c r="F328" s="76"/>
      <c r="G328" s="76"/>
    </row>
    <row r="329" spans="1:7" ht="17" x14ac:dyDescent="0.2">
      <c r="A329" s="76"/>
      <c r="B329" s="76"/>
      <c r="C329" s="76"/>
      <c r="D329" s="87" t="s">
        <v>82</v>
      </c>
      <c r="E329" s="87" t="s">
        <v>83</v>
      </c>
      <c r="F329" s="87" t="s">
        <v>84</v>
      </c>
      <c r="G329" s="87" t="s">
        <v>85</v>
      </c>
    </row>
    <row r="330" spans="1:7" x14ac:dyDescent="0.2">
      <c r="A330" s="76"/>
      <c r="B330" s="2" t="s">
        <v>355</v>
      </c>
      <c r="C330" s="2"/>
      <c r="D330" s="6">
        <v>1</v>
      </c>
      <c r="E330" s="3" t="str">
        <f>VLOOKUP(B330,Produits!A:G,3,FALSE)</f>
        <v>Pièce</v>
      </c>
      <c r="F330" s="92">
        <f>VLOOKUP(B330,Produits!A:G,7,FALSE)</f>
        <v>0.35655416666666662</v>
      </c>
      <c r="G330" s="95">
        <f>F330*D330</f>
        <v>0.35655416666666662</v>
      </c>
    </row>
    <row r="331" spans="1:7" x14ac:dyDescent="0.2">
      <c r="A331" s="76"/>
      <c r="B331" s="2" t="s">
        <v>15</v>
      </c>
      <c r="C331" s="2"/>
      <c r="D331" s="6">
        <v>0.02</v>
      </c>
      <c r="E331" s="3" t="str">
        <f>VLOOKUP(B331,Produits!A:G,3,FALSE)</f>
        <v>Kilogramme</v>
      </c>
      <c r="F331" s="92">
        <f>VLOOKUP(B331,Produits!A:G,7,FALSE)</f>
        <v>9.58</v>
      </c>
      <c r="G331" s="95">
        <f t="shared" ref="G331" si="31">F331*D331</f>
        <v>0.19159999999999999</v>
      </c>
    </row>
    <row r="332" spans="1:7" ht="17" x14ac:dyDescent="0.2">
      <c r="A332" s="76"/>
      <c r="B332" s="90" t="s">
        <v>86</v>
      </c>
      <c r="C332" s="90"/>
      <c r="D332" s="103"/>
      <c r="E332" s="94"/>
      <c r="F332" s="94"/>
      <c r="G332" s="95">
        <f>SUM(G329:G331)</f>
        <v>0.54815416666666661</v>
      </c>
    </row>
    <row r="333" spans="1:7" x14ac:dyDescent="0.2">
      <c r="A333" s="76"/>
      <c r="B333" s="89" t="s">
        <v>138</v>
      </c>
      <c r="C333" s="89"/>
      <c r="D333" s="6">
        <v>1</v>
      </c>
      <c r="E333" s="76"/>
      <c r="F333" s="76"/>
      <c r="G333" s="76"/>
    </row>
    <row r="334" spans="1:7" s="15" customFormat="1" x14ac:dyDescent="0.2">
      <c r="A334" s="76"/>
      <c r="B334" s="89" t="s">
        <v>129</v>
      </c>
      <c r="C334" s="89"/>
      <c r="D334" s="104">
        <f>G332/D333</f>
        <v>0.54815416666666661</v>
      </c>
      <c r="E334" s="76"/>
      <c r="F334" s="76"/>
      <c r="G334" s="76"/>
    </row>
    <row r="336" spans="1:7" s="19" customFormat="1" x14ac:dyDescent="0.2">
      <c r="A336" s="74" t="s">
        <v>154</v>
      </c>
      <c r="B336" s="74" t="s">
        <v>158</v>
      </c>
      <c r="C336" s="74"/>
      <c r="D336" s="75"/>
      <c r="E336" s="74"/>
      <c r="F336" s="76"/>
      <c r="G336" s="76"/>
    </row>
    <row r="337" spans="1:7" ht="17" x14ac:dyDescent="0.2">
      <c r="A337" s="76"/>
      <c r="B337" s="76"/>
      <c r="C337" s="76"/>
      <c r="D337" s="87" t="s">
        <v>82</v>
      </c>
      <c r="E337" s="87" t="s">
        <v>83</v>
      </c>
      <c r="F337" s="87" t="s">
        <v>84</v>
      </c>
      <c r="G337" s="87" t="s">
        <v>85</v>
      </c>
    </row>
    <row r="338" spans="1:7" x14ac:dyDescent="0.2">
      <c r="A338" s="76"/>
      <c r="B338" s="2" t="s">
        <v>355</v>
      </c>
      <c r="C338" s="2"/>
      <c r="D338" s="6">
        <v>1</v>
      </c>
      <c r="E338" s="3" t="str">
        <f>VLOOKUP(B338,Produits!A:G,3,FALSE)</f>
        <v>Pièce</v>
      </c>
      <c r="F338" s="92">
        <f>VLOOKUP(B338,Produits!A:G,7,FALSE)</f>
        <v>0.35655416666666662</v>
      </c>
      <c r="G338" s="95">
        <f>F338*D338</f>
        <v>0.35655416666666662</v>
      </c>
    </row>
    <row r="339" spans="1:7" x14ac:dyDescent="0.2">
      <c r="A339" s="76"/>
      <c r="B339" s="2" t="s">
        <v>15</v>
      </c>
      <c r="C339" s="2"/>
      <c r="D339" s="6">
        <v>0.02</v>
      </c>
      <c r="E339" s="3" t="str">
        <f>VLOOKUP(B339,Produits!A:G,3,FALSE)</f>
        <v>Kilogramme</v>
      </c>
      <c r="F339" s="92">
        <f>VLOOKUP(B339,Produits!A:G,7,FALSE)</f>
        <v>9.58</v>
      </c>
      <c r="G339" s="95">
        <f t="shared" ref="G339:G340" si="32">F339*D339</f>
        <v>0.19159999999999999</v>
      </c>
    </row>
    <row r="340" spans="1:7" x14ac:dyDescent="0.2">
      <c r="A340" s="76"/>
      <c r="B340" s="2" t="s">
        <v>65</v>
      </c>
      <c r="C340" s="2"/>
      <c r="D340" s="6">
        <v>0.02</v>
      </c>
      <c r="E340" s="3" t="str">
        <f>VLOOKUP(B340,Produits!A:G,3,FALSE)</f>
        <v>Kilogramme</v>
      </c>
      <c r="F340" s="92">
        <f>VLOOKUP(B340,Produits!A:G,7,FALSE)</f>
        <v>1.85</v>
      </c>
      <c r="G340" s="95">
        <f t="shared" si="32"/>
        <v>3.7000000000000005E-2</v>
      </c>
    </row>
    <row r="341" spans="1:7" ht="17" x14ac:dyDescent="0.2">
      <c r="A341" s="76"/>
      <c r="B341" s="90" t="s">
        <v>86</v>
      </c>
      <c r="C341" s="90"/>
      <c r="D341" s="103"/>
      <c r="E341" s="94"/>
      <c r="F341" s="94"/>
      <c r="G341" s="95">
        <f>SUM(G337:G340)</f>
        <v>0.58515416666666664</v>
      </c>
    </row>
    <row r="342" spans="1:7" x14ac:dyDescent="0.2">
      <c r="A342" s="76"/>
      <c r="B342" s="89" t="s">
        <v>138</v>
      </c>
      <c r="C342" s="89"/>
      <c r="D342" s="6">
        <v>1</v>
      </c>
      <c r="E342" s="76"/>
      <c r="F342" s="76"/>
      <c r="G342" s="76"/>
    </row>
    <row r="343" spans="1:7" s="15" customFormat="1" x14ac:dyDescent="0.2">
      <c r="A343" s="76"/>
      <c r="B343" s="89" t="s">
        <v>129</v>
      </c>
      <c r="C343" s="89"/>
      <c r="D343" s="104">
        <f>G341/D342</f>
        <v>0.58515416666666664</v>
      </c>
      <c r="E343" s="76"/>
      <c r="F343" s="76"/>
      <c r="G343" s="76"/>
    </row>
    <row r="345" spans="1:7" s="19" customFormat="1" x14ac:dyDescent="0.2">
      <c r="A345" s="12" t="s">
        <v>115</v>
      </c>
      <c r="B345" s="12" t="s">
        <v>162</v>
      </c>
      <c r="C345" s="12"/>
      <c r="D345" s="13"/>
      <c r="E345" s="12"/>
      <c r="F345" s="14"/>
      <c r="G345" s="14"/>
    </row>
    <row r="346" spans="1:7" ht="17" x14ac:dyDescent="0.2">
      <c r="A346" s="12"/>
      <c r="B346" s="12"/>
      <c r="C346" s="12"/>
      <c r="D346" s="87" t="s">
        <v>82</v>
      </c>
      <c r="E346" s="87" t="s">
        <v>83</v>
      </c>
      <c r="F346" s="87" t="s">
        <v>84</v>
      </c>
      <c r="G346" s="87" t="s">
        <v>85</v>
      </c>
    </row>
    <row r="347" spans="1:7" x14ac:dyDescent="0.2">
      <c r="A347" s="12"/>
      <c r="B347" s="2" t="s">
        <v>15</v>
      </c>
      <c r="C347" s="2"/>
      <c r="D347" s="6">
        <v>0.05</v>
      </c>
      <c r="E347" s="3" t="str">
        <f>VLOOKUP(B347,Produits!A:G,3,FALSE)</f>
        <v>Kilogramme</v>
      </c>
      <c r="F347" s="92">
        <f>VLOOKUP(B347,Produits!A:G,7,FALSE)</f>
        <v>9.58</v>
      </c>
      <c r="G347" s="95">
        <f t="shared" ref="G347:G349" si="33">F347*D347</f>
        <v>0.47900000000000004</v>
      </c>
    </row>
    <row r="348" spans="1:7" x14ac:dyDescent="0.2">
      <c r="A348" s="12"/>
      <c r="B348" s="2" t="s">
        <v>65</v>
      </c>
      <c r="C348" s="2"/>
      <c r="D348" s="6">
        <v>0.2</v>
      </c>
      <c r="E348" s="3" t="str">
        <f>VLOOKUP(B348,Produits!A:G,3,FALSE)</f>
        <v>Kilogramme</v>
      </c>
      <c r="F348" s="92">
        <f>VLOOKUP(B348,Produits!A:G,7,FALSE)</f>
        <v>1.85</v>
      </c>
      <c r="G348" s="95">
        <f t="shared" si="33"/>
        <v>0.37000000000000005</v>
      </c>
    </row>
    <row r="349" spans="1:7" x14ac:dyDescent="0.2">
      <c r="A349" s="12"/>
      <c r="B349" s="2" t="s">
        <v>106</v>
      </c>
      <c r="C349" s="2"/>
      <c r="D349" s="6">
        <v>0.02</v>
      </c>
      <c r="E349" s="3" t="str">
        <f>VLOOKUP(B349,Produits!A:G,3,FALSE)</f>
        <v>Litre</v>
      </c>
      <c r="F349" s="92">
        <f>VLOOKUP(B349,Produits!A:G,7,FALSE)</f>
        <v>4.49</v>
      </c>
      <c r="G349" s="95">
        <f t="shared" si="33"/>
        <v>8.9800000000000005E-2</v>
      </c>
    </row>
    <row r="350" spans="1:7" ht="17" x14ac:dyDescent="0.2">
      <c r="A350" s="12"/>
      <c r="B350" s="90" t="s">
        <v>86</v>
      </c>
      <c r="C350" s="90"/>
      <c r="D350" s="103"/>
      <c r="E350" s="94"/>
      <c r="F350" s="94"/>
      <c r="G350" s="95">
        <f>SUM(G347:G349)</f>
        <v>0.93880000000000008</v>
      </c>
    </row>
    <row r="351" spans="1:7" x14ac:dyDescent="0.2">
      <c r="A351" s="12"/>
      <c r="B351" s="89" t="s">
        <v>138</v>
      </c>
      <c r="C351" s="89"/>
      <c r="D351" s="6">
        <v>15</v>
      </c>
      <c r="E351" s="12"/>
      <c r="F351" s="12"/>
      <c r="G351" s="12"/>
    </row>
    <row r="352" spans="1:7" s="15" customFormat="1" x14ac:dyDescent="0.2">
      <c r="A352" s="12"/>
      <c r="B352" s="89" t="s">
        <v>129</v>
      </c>
      <c r="C352" s="89"/>
      <c r="D352" s="104">
        <f>G350/D351</f>
        <v>6.2586666666666665E-2</v>
      </c>
      <c r="E352" s="12"/>
      <c r="F352" s="12"/>
      <c r="G352" s="12"/>
    </row>
    <row r="354" spans="1:7" s="19" customFormat="1" x14ac:dyDescent="0.2">
      <c r="A354" s="74" t="s">
        <v>154</v>
      </c>
      <c r="B354" s="74" t="s">
        <v>159</v>
      </c>
      <c r="C354" s="74"/>
      <c r="D354" s="75"/>
      <c r="E354" s="74"/>
      <c r="F354" s="76"/>
      <c r="G354" s="76"/>
    </row>
    <row r="355" spans="1:7" ht="17" x14ac:dyDescent="0.2">
      <c r="A355" s="76"/>
      <c r="B355" s="76"/>
      <c r="C355" s="76"/>
      <c r="D355" s="87" t="s">
        <v>82</v>
      </c>
      <c r="E355" s="87" t="s">
        <v>83</v>
      </c>
      <c r="F355" s="87" t="s">
        <v>84</v>
      </c>
      <c r="G355" s="87" t="s">
        <v>85</v>
      </c>
    </row>
    <row r="356" spans="1:7" x14ac:dyDescent="0.2">
      <c r="A356" s="76"/>
      <c r="B356" s="2" t="s">
        <v>355</v>
      </c>
      <c r="C356" s="2"/>
      <c r="D356" s="6">
        <v>1</v>
      </c>
      <c r="E356" s="3" t="str">
        <f>VLOOKUP(B356,Produits!A:G,3,FALSE)</f>
        <v>Pièce</v>
      </c>
      <c r="F356" s="92">
        <f>VLOOKUP(B356,Produits!A:G,7,FALSE)</f>
        <v>0.35655416666666662</v>
      </c>
      <c r="G356" s="95">
        <f>F356*D356</f>
        <v>0.35655416666666662</v>
      </c>
    </row>
    <row r="357" spans="1:7" x14ac:dyDescent="0.2">
      <c r="A357" s="76"/>
      <c r="B357" s="2" t="s">
        <v>40</v>
      </c>
      <c r="C357" s="2"/>
      <c r="D357" s="6">
        <v>0.02</v>
      </c>
      <c r="E357" s="3" t="str">
        <f>VLOOKUP(B357,Produits!A:G,3,FALSE)</f>
        <v>Litre</v>
      </c>
      <c r="F357" s="92">
        <f>VLOOKUP(B357,Produits!A:G,7,FALSE)</f>
        <v>3.55</v>
      </c>
      <c r="G357" s="95">
        <f t="shared" ref="G357:G358" si="34">F357*D357</f>
        <v>7.0999999999999994E-2</v>
      </c>
    </row>
    <row r="358" spans="1:7" x14ac:dyDescent="0.2">
      <c r="A358" s="76"/>
      <c r="B358" s="2" t="s">
        <v>41</v>
      </c>
      <c r="C358" s="2"/>
      <c r="D358" s="6">
        <v>0.02</v>
      </c>
      <c r="E358" s="3" t="str">
        <f>VLOOKUP(B358,Produits!A:G,3,FALSE)</f>
        <v>Litre</v>
      </c>
      <c r="F358" s="92">
        <f>VLOOKUP(B358,Produits!A:G,7,FALSE)</f>
        <v>5.0714285714285712</v>
      </c>
      <c r="G358" s="95">
        <f t="shared" si="34"/>
        <v>0.10142857142857142</v>
      </c>
    </row>
    <row r="359" spans="1:7" ht="17" x14ac:dyDescent="0.2">
      <c r="A359" s="76"/>
      <c r="B359" s="90" t="s">
        <v>86</v>
      </c>
      <c r="C359" s="90"/>
      <c r="D359" s="103"/>
      <c r="E359" s="94"/>
      <c r="F359" s="94"/>
      <c r="G359" s="95">
        <f>SUM(G355:G358)</f>
        <v>0.5289827380952381</v>
      </c>
    </row>
    <row r="360" spans="1:7" x14ac:dyDescent="0.2">
      <c r="A360" s="76"/>
      <c r="B360" s="89" t="s">
        <v>138</v>
      </c>
      <c r="C360" s="89"/>
      <c r="D360" s="6">
        <v>1</v>
      </c>
      <c r="E360" s="76"/>
      <c r="F360" s="76"/>
      <c r="G360" s="76"/>
    </row>
    <row r="361" spans="1:7" s="15" customFormat="1" x14ac:dyDescent="0.2">
      <c r="A361" s="76"/>
      <c r="B361" s="89" t="s">
        <v>129</v>
      </c>
      <c r="C361" s="89"/>
      <c r="D361" s="104">
        <f>G359/D360</f>
        <v>0.5289827380952381</v>
      </c>
      <c r="E361" s="76"/>
      <c r="F361" s="76"/>
      <c r="G361" s="76"/>
    </row>
    <row r="363" spans="1:7" s="19" customFormat="1" x14ac:dyDescent="0.2">
      <c r="A363" s="12" t="s">
        <v>115</v>
      </c>
      <c r="B363" s="12" t="s">
        <v>163</v>
      </c>
      <c r="C363" s="12"/>
      <c r="D363" s="13"/>
      <c r="E363" s="12"/>
      <c r="F363" s="14"/>
      <c r="G363" s="14"/>
    </row>
    <row r="364" spans="1:7" ht="17" x14ac:dyDescent="0.2">
      <c r="A364" s="12"/>
      <c r="B364" s="12"/>
      <c r="C364" s="12"/>
      <c r="D364" s="87" t="s">
        <v>82</v>
      </c>
      <c r="E364" s="87" t="s">
        <v>83</v>
      </c>
      <c r="F364" s="87" t="s">
        <v>84</v>
      </c>
      <c r="G364" s="87" t="s">
        <v>85</v>
      </c>
    </row>
    <row r="365" spans="1:7" x14ac:dyDescent="0.2">
      <c r="A365" s="12"/>
      <c r="B365" s="2" t="s">
        <v>44</v>
      </c>
      <c r="C365" s="2"/>
      <c r="D365" s="6">
        <v>0.32</v>
      </c>
      <c r="E365" s="3" t="str">
        <f>VLOOKUP(B365,Produits!A:G,3,FALSE)</f>
        <v>Kilogramme</v>
      </c>
      <c r="F365" s="92">
        <f>VLOOKUP(B365,Produits!A:G,7,FALSE)</f>
        <v>7.9687499999999991</v>
      </c>
      <c r="G365" s="95">
        <f t="shared" ref="G365:G366" si="35">F365*D365</f>
        <v>2.5499999999999998</v>
      </c>
    </row>
    <row r="366" spans="1:7" x14ac:dyDescent="0.2">
      <c r="A366" s="12"/>
      <c r="B366" s="2" t="s">
        <v>106</v>
      </c>
      <c r="C366" s="2"/>
      <c r="D366" s="6">
        <v>0.1</v>
      </c>
      <c r="E366" s="3" t="str">
        <f>VLOOKUP(B366,Produits!A:G,3,FALSE)</f>
        <v>Litre</v>
      </c>
      <c r="F366" s="92">
        <f>VLOOKUP(B366,Produits!A:G,7,FALSE)</f>
        <v>4.49</v>
      </c>
      <c r="G366" s="95">
        <f t="shared" si="35"/>
        <v>0.44900000000000007</v>
      </c>
    </row>
    <row r="367" spans="1:7" ht="17" x14ac:dyDescent="0.2">
      <c r="A367" s="12"/>
      <c r="B367" s="90" t="s">
        <v>86</v>
      </c>
      <c r="C367" s="90"/>
      <c r="D367" s="103"/>
      <c r="E367" s="94"/>
      <c r="F367" s="94"/>
      <c r="G367" s="95">
        <f>SUM(G365:G366)</f>
        <v>2.9989999999999997</v>
      </c>
    </row>
    <row r="368" spans="1:7" x14ac:dyDescent="0.2">
      <c r="A368" s="12"/>
      <c r="B368" s="89" t="s">
        <v>138</v>
      </c>
      <c r="C368" s="89"/>
      <c r="D368" s="6">
        <v>15</v>
      </c>
      <c r="E368" s="12"/>
      <c r="F368" s="12"/>
      <c r="G368" s="12"/>
    </row>
    <row r="369" spans="1:7" s="15" customFormat="1" x14ac:dyDescent="0.2">
      <c r="A369" s="12"/>
      <c r="B369" s="89" t="s">
        <v>129</v>
      </c>
      <c r="C369" s="89"/>
      <c r="D369" s="104">
        <f>G367/D368</f>
        <v>0.19993333333333332</v>
      </c>
      <c r="E369" s="12"/>
      <c r="F369" s="12"/>
      <c r="G369" s="12"/>
    </row>
    <row r="371" spans="1:7" s="19" customFormat="1" x14ac:dyDescent="0.2">
      <c r="A371" s="74" t="s">
        <v>154</v>
      </c>
      <c r="B371" s="74" t="s">
        <v>160</v>
      </c>
      <c r="C371" s="74"/>
      <c r="D371" s="75"/>
      <c r="E371" s="74"/>
      <c r="F371" s="76"/>
      <c r="G371" s="76"/>
    </row>
    <row r="372" spans="1:7" ht="17" x14ac:dyDescent="0.2">
      <c r="A372" s="74"/>
      <c r="B372" s="74"/>
      <c r="C372" s="74"/>
      <c r="D372" s="87" t="s">
        <v>82</v>
      </c>
      <c r="E372" s="87" t="s">
        <v>83</v>
      </c>
      <c r="F372" s="87" t="s">
        <v>84</v>
      </c>
      <c r="G372" s="87" t="s">
        <v>85</v>
      </c>
    </row>
    <row r="373" spans="1:7" x14ac:dyDescent="0.2">
      <c r="A373" s="74"/>
      <c r="B373" s="2" t="s">
        <v>355</v>
      </c>
      <c r="C373" s="2"/>
      <c r="D373" s="6">
        <v>1</v>
      </c>
      <c r="E373" s="3" t="str">
        <f>VLOOKUP(B373,Produits!A:G,3,FALSE)</f>
        <v>Pièce</v>
      </c>
      <c r="F373" s="92">
        <f>VLOOKUP(B373,Produits!A:G,7,FALSE)</f>
        <v>0.35655416666666662</v>
      </c>
      <c r="G373" s="95">
        <f>F373*D373</f>
        <v>0.35655416666666662</v>
      </c>
    </row>
    <row r="374" spans="1:7" x14ac:dyDescent="0.2">
      <c r="A374" s="74"/>
      <c r="B374" s="2" t="s">
        <v>163</v>
      </c>
      <c r="C374" s="2"/>
      <c r="D374" s="6">
        <v>1</v>
      </c>
      <c r="E374" s="3" t="str">
        <f>VLOOKUP(B374,Produits!A:G,3,FALSE)</f>
        <v>Pièce</v>
      </c>
      <c r="F374" s="92">
        <f>VLOOKUP(B374,Produits!A:G,7,FALSE)</f>
        <v>0.19993333333333332</v>
      </c>
      <c r="G374" s="95">
        <f t="shared" ref="G374:G376" si="36">F374*D374</f>
        <v>0.19993333333333332</v>
      </c>
    </row>
    <row r="375" spans="1:7" x14ac:dyDescent="0.2">
      <c r="A375" s="74"/>
      <c r="B375" s="2" t="s">
        <v>106</v>
      </c>
      <c r="C375" s="2"/>
      <c r="D375" s="6">
        <v>0.01</v>
      </c>
      <c r="E375" s="3" t="str">
        <f>VLOOKUP(B375,Produits!A:G,3,FALSE)</f>
        <v>Litre</v>
      </c>
      <c r="F375" s="92">
        <f>VLOOKUP(B375,Produits!A:G,7,FALSE)</f>
        <v>4.49</v>
      </c>
      <c r="G375" s="95">
        <f t="shared" si="36"/>
        <v>4.4900000000000002E-2</v>
      </c>
    </row>
    <row r="376" spans="1:7" x14ac:dyDescent="0.2">
      <c r="A376" s="74"/>
      <c r="B376" s="2" t="s">
        <v>15</v>
      </c>
      <c r="C376" s="2"/>
      <c r="D376" s="6">
        <v>0.02</v>
      </c>
      <c r="E376" s="3" t="str">
        <f>VLOOKUP(B376,Produits!A:G,3,FALSE)</f>
        <v>Kilogramme</v>
      </c>
      <c r="F376" s="92">
        <f>VLOOKUP(B376,Produits!A:G,7,FALSE)</f>
        <v>9.58</v>
      </c>
      <c r="G376" s="95">
        <f t="shared" si="36"/>
        <v>0.19159999999999999</v>
      </c>
    </row>
    <row r="377" spans="1:7" ht="17" x14ac:dyDescent="0.2">
      <c r="A377" s="74"/>
      <c r="B377" s="90" t="s">
        <v>86</v>
      </c>
      <c r="C377" s="90"/>
      <c r="D377" s="103"/>
      <c r="E377" s="94"/>
      <c r="F377" s="94"/>
      <c r="G377" s="95">
        <f>SUM(G372:G376)</f>
        <v>0.79298749999999996</v>
      </c>
    </row>
    <row r="378" spans="1:7" x14ac:dyDescent="0.2">
      <c r="A378" s="74"/>
      <c r="B378" s="89" t="s">
        <v>138</v>
      </c>
      <c r="C378" s="89"/>
      <c r="D378" s="6">
        <v>1</v>
      </c>
      <c r="E378" s="74"/>
      <c r="F378" s="74"/>
      <c r="G378" s="74"/>
    </row>
    <row r="379" spans="1:7" s="15" customFormat="1" x14ac:dyDescent="0.2">
      <c r="A379" s="74"/>
      <c r="B379" s="89" t="s">
        <v>129</v>
      </c>
      <c r="C379" s="89"/>
      <c r="D379" s="104">
        <f>G377/D378</f>
        <v>0.79298749999999996</v>
      </c>
      <c r="E379" s="74"/>
      <c r="F379" s="74"/>
      <c r="G379" s="74"/>
    </row>
    <row r="381" spans="1:7" s="19" customFormat="1" x14ac:dyDescent="0.2">
      <c r="A381" s="12" t="s">
        <v>115</v>
      </c>
      <c r="B381" s="12" t="s">
        <v>164</v>
      </c>
      <c r="C381" s="12"/>
      <c r="D381" s="13"/>
      <c r="E381" s="12"/>
      <c r="F381" s="14"/>
      <c r="G381" s="14"/>
    </row>
    <row r="382" spans="1:7" ht="17" x14ac:dyDescent="0.2">
      <c r="A382" s="12"/>
      <c r="B382" s="12"/>
      <c r="C382" s="12"/>
      <c r="D382" s="87" t="s">
        <v>82</v>
      </c>
      <c r="E382" s="87" t="s">
        <v>83</v>
      </c>
      <c r="F382" s="87" t="s">
        <v>84</v>
      </c>
      <c r="G382" s="87" t="s">
        <v>85</v>
      </c>
    </row>
    <row r="383" spans="1:7" x14ac:dyDescent="0.2">
      <c r="A383" s="12"/>
      <c r="B383" s="2" t="s">
        <v>58</v>
      </c>
      <c r="C383" s="2"/>
      <c r="D383" s="6">
        <v>1</v>
      </c>
      <c r="E383" s="3" t="str">
        <f>VLOOKUP(B383,Produits!A:G,3,FALSE)</f>
        <v>Kilogramme</v>
      </c>
      <c r="F383" s="92">
        <f>VLOOKUP(B383,Produits!A:G,7,FALSE)</f>
        <v>2.6749999999999998</v>
      </c>
      <c r="G383" s="95">
        <f t="shared" ref="G383:G385" si="37">F383*D383</f>
        <v>2.6749999999999998</v>
      </c>
    </row>
    <row r="384" spans="1:7" x14ac:dyDescent="0.2">
      <c r="A384" s="12"/>
      <c r="B384" s="2" t="s">
        <v>15</v>
      </c>
      <c r="C384" s="2"/>
      <c r="D384" s="6">
        <v>0.1</v>
      </c>
      <c r="E384" s="3" t="str">
        <f>VLOOKUP(B384,Produits!A:G,3,FALSE)</f>
        <v>Kilogramme</v>
      </c>
      <c r="F384" s="92">
        <f>VLOOKUP(B384,Produits!A:G,7,FALSE)</f>
        <v>9.58</v>
      </c>
      <c r="G384" s="95">
        <f t="shared" si="37"/>
        <v>0.95800000000000007</v>
      </c>
    </row>
    <row r="385" spans="1:7" x14ac:dyDescent="0.2">
      <c r="A385" s="12"/>
      <c r="B385" s="2" t="s">
        <v>65</v>
      </c>
      <c r="C385" s="2"/>
      <c r="D385" s="6">
        <v>0.02</v>
      </c>
      <c r="E385" s="3" t="str">
        <f>VLOOKUP(B385,Produits!A:G,3,FALSE)</f>
        <v>Kilogramme</v>
      </c>
      <c r="F385" s="92">
        <f>VLOOKUP(B385,Produits!A:G,7,FALSE)</f>
        <v>1.85</v>
      </c>
      <c r="G385" s="95">
        <f t="shared" si="37"/>
        <v>3.7000000000000005E-2</v>
      </c>
    </row>
    <row r="386" spans="1:7" ht="17" x14ac:dyDescent="0.2">
      <c r="A386" s="12"/>
      <c r="B386" s="91" t="s">
        <v>86</v>
      </c>
      <c r="C386" s="91"/>
      <c r="D386" s="94"/>
      <c r="E386" s="94"/>
      <c r="F386" s="94"/>
      <c r="G386" s="95">
        <f>SUM(G383:G385)</f>
        <v>3.67</v>
      </c>
    </row>
    <row r="387" spans="1:7" x14ac:dyDescent="0.2">
      <c r="A387" s="12"/>
      <c r="B387" s="88" t="s">
        <v>138</v>
      </c>
      <c r="C387" s="88"/>
      <c r="D387" s="6">
        <v>20</v>
      </c>
      <c r="E387" s="12"/>
      <c r="F387" s="12"/>
      <c r="G387" s="12"/>
    </row>
    <row r="388" spans="1:7" s="15" customFormat="1" x14ac:dyDescent="0.2">
      <c r="A388" s="12"/>
      <c r="B388" s="88" t="s">
        <v>129</v>
      </c>
      <c r="C388" s="88"/>
      <c r="D388" s="96">
        <f>G386/D387</f>
        <v>0.1835</v>
      </c>
      <c r="E388" s="12"/>
      <c r="F388" s="12"/>
      <c r="G388" s="12"/>
    </row>
    <row r="390" spans="1:7" s="19" customFormat="1" x14ac:dyDescent="0.2">
      <c r="A390" s="74" t="s">
        <v>154</v>
      </c>
      <c r="B390" s="74" t="s">
        <v>161</v>
      </c>
      <c r="C390" s="74"/>
      <c r="D390" s="75"/>
      <c r="E390" s="74"/>
      <c r="F390" s="76"/>
      <c r="G390" s="76"/>
    </row>
    <row r="391" spans="1:7" ht="17" x14ac:dyDescent="0.2">
      <c r="A391" s="76"/>
      <c r="B391" s="76"/>
      <c r="C391" s="76"/>
      <c r="D391" s="87" t="s">
        <v>82</v>
      </c>
      <c r="E391" s="87" t="s">
        <v>83</v>
      </c>
      <c r="F391" s="87" t="s">
        <v>84</v>
      </c>
      <c r="G391" s="87" t="s">
        <v>85</v>
      </c>
    </row>
    <row r="392" spans="1:7" x14ac:dyDescent="0.2">
      <c r="A392" s="76"/>
      <c r="B392" s="2" t="s">
        <v>355</v>
      </c>
      <c r="C392" s="2"/>
      <c r="D392" s="6">
        <v>1</v>
      </c>
      <c r="E392" s="3" t="str">
        <f>VLOOKUP(B392,Produits!A:G,3,FALSE)</f>
        <v>Pièce</v>
      </c>
      <c r="F392" s="92">
        <f>VLOOKUP(B392,Produits!A:G,7,FALSE)</f>
        <v>0.35655416666666662</v>
      </c>
      <c r="G392" s="95">
        <f>F392*D392</f>
        <v>0.35655416666666662</v>
      </c>
    </row>
    <row r="393" spans="1:7" x14ac:dyDescent="0.2">
      <c r="A393" s="76"/>
      <c r="B393" s="2" t="s">
        <v>40</v>
      </c>
      <c r="C393" s="2"/>
      <c r="D393" s="6">
        <v>0.02</v>
      </c>
      <c r="E393" s="3" t="str">
        <f>VLOOKUP(B393,Produits!A:G,3,FALSE)</f>
        <v>Litre</v>
      </c>
      <c r="F393" s="92">
        <f>VLOOKUP(B393,Produits!A:G,7,FALSE)</f>
        <v>3.55</v>
      </c>
      <c r="G393" s="95">
        <f t="shared" ref="G393:G394" si="38">F393*D393</f>
        <v>7.0999999999999994E-2</v>
      </c>
    </row>
    <row r="394" spans="1:7" x14ac:dyDescent="0.2">
      <c r="A394" s="76"/>
      <c r="B394" s="2" t="s">
        <v>41</v>
      </c>
      <c r="C394" s="2"/>
      <c r="D394" s="6">
        <v>0.02</v>
      </c>
      <c r="E394" s="3" t="str">
        <f>VLOOKUP(B394,Produits!A:G,3,FALSE)</f>
        <v>Litre</v>
      </c>
      <c r="F394" s="92">
        <f>VLOOKUP(B394,Produits!A:G,7,FALSE)</f>
        <v>5.0714285714285712</v>
      </c>
      <c r="G394" s="95">
        <f t="shared" si="38"/>
        <v>0.10142857142857142</v>
      </c>
    </row>
    <row r="395" spans="1:7" ht="17" x14ac:dyDescent="0.2">
      <c r="A395" s="76"/>
      <c r="B395" s="90" t="s">
        <v>86</v>
      </c>
      <c r="C395" s="90"/>
      <c r="D395" s="103"/>
      <c r="E395" s="94"/>
      <c r="F395" s="94"/>
      <c r="G395" s="95">
        <f>SUM(G391:G394)</f>
        <v>0.5289827380952381</v>
      </c>
    </row>
    <row r="396" spans="1:7" x14ac:dyDescent="0.2">
      <c r="A396" s="76"/>
      <c r="B396" s="89" t="s">
        <v>138</v>
      </c>
      <c r="C396" s="89"/>
      <c r="D396" s="6">
        <v>1</v>
      </c>
      <c r="E396" s="76"/>
      <c r="F396" s="76"/>
      <c r="G396" s="76"/>
    </row>
    <row r="397" spans="1:7" s="15" customFormat="1" x14ac:dyDescent="0.2">
      <c r="A397" s="76"/>
      <c r="B397" s="89" t="s">
        <v>129</v>
      </c>
      <c r="C397" s="89"/>
      <c r="D397" s="104">
        <f>G395/D396</f>
        <v>0.5289827380952381</v>
      </c>
      <c r="E397" s="76"/>
      <c r="F397" s="76"/>
      <c r="G397" s="76"/>
    </row>
    <row r="399" spans="1:7" s="19" customFormat="1" x14ac:dyDescent="0.2">
      <c r="A399" s="12" t="s">
        <v>115</v>
      </c>
      <c r="B399" s="12" t="s">
        <v>165</v>
      </c>
      <c r="C399" s="12"/>
      <c r="D399" s="13"/>
      <c r="E399" s="12"/>
      <c r="F399" s="14"/>
      <c r="G399" s="14"/>
    </row>
    <row r="400" spans="1:7" ht="17" x14ac:dyDescent="0.2">
      <c r="A400" s="12"/>
      <c r="B400" s="12"/>
      <c r="C400" s="12"/>
      <c r="D400" s="87" t="s">
        <v>82</v>
      </c>
      <c r="E400" s="87" t="s">
        <v>83</v>
      </c>
      <c r="F400" s="87" t="s">
        <v>84</v>
      </c>
      <c r="G400" s="87" t="s">
        <v>85</v>
      </c>
    </row>
    <row r="401" spans="1:7" x14ac:dyDescent="0.2">
      <c r="A401" s="12"/>
      <c r="B401" s="2" t="s">
        <v>8</v>
      </c>
      <c r="C401" s="2"/>
      <c r="D401" s="6">
        <v>1</v>
      </c>
      <c r="E401" s="3" t="str">
        <f>VLOOKUP(B401,Produits!A:G,3,FALSE)</f>
        <v>Litre</v>
      </c>
      <c r="F401" s="92">
        <f>VLOOKUP(B401,Produits!A:G,7,FALSE)</f>
        <v>1.46</v>
      </c>
      <c r="G401" s="95">
        <f t="shared" ref="G401:G408" si="39">F401*D401</f>
        <v>1.46</v>
      </c>
    </row>
    <row r="402" spans="1:7" x14ac:dyDescent="0.2">
      <c r="A402" s="12"/>
      <c r="B402" s="2" t="s">
        <v>65</v>
      </c>
      <c r="C402" s="2"/>
      <c r="D402" s="6">
        <v>0.1</v>
      </c>
      <c r="E402" s="3" t="str">
        <f>VLOOKUP(B402,Produits!A:G,3,FALSE)</f>
        <v>Kilogramme</v>
      </c>
      <c r="F402" s="92">
        <f>VLOOKUP(B402,Produits!A:G,7,FALSE)</f>
        <v>1.85</v>
      </c>
      <c r="G402" s="95">
        <f t="shared" si="39"/>
        <v>0.18500000000000003</v>
      </c>
    </row>
    <row r="403" spans="1:7" x14ac:dyDescent="0.2">
      <c r="A403" s="12"/>
      <c r="B403" s="2" t="s">
        <v>13</v>
      </c>
      <c r="C403" s="2"/>
      <c r="D403" s="6">
        <v>0.02</v>
      </c>
      <c r="E403" s="3" t="str">
        <f>VLOOKUP(B403,Produits!A:G,3,FALSE)</f>
        <v>Kilogramme</v>
      </c>
      <c r="F403" s="92">
        <f>VLOOKUP(B403,Produits!A:G,7,FALSE)</f>
        <v>1.29</v>
      </c>
      <c r="G403" s="95">
        <f t="shared" si="39"/>
        <v>2.58E-2</v>
      </c>
    </row>
    <row r="404" spans="1:7" x14ac:dyDescent="0.2">
      <c r="A404" s="12"/>
      <c r="B404" s="2" t="s">
        <v>46</v>
      </c>
      <c r="C404" s="2"/>
      <c r="D404" s="6">
        <v>0.02</v>
      </c>
      <c r="E404" s="3" t="str">
        <f>VLOOKUP(B404,Produits!A:G,3,FALSE)</f>
        <v>Pièce</v>
      </c>
      <c r="F404" s="92">
        <f>VLOOKUP(B404,Produits!A:G,7,FALSE)</f>
        <v>52</v>
      </c>
      <c r="G404" s="95">
        <f t="shared" si="39"/>
        <v>1.04</v>
      </c>
    </row>
    <row r="405" spans="1:7" x14ac:dyDescent="0.2">
      <c r="A405" s="12"/>
      <c r="B405" s="2" t="s">
        <v>45</v>
      </c>
      <c r="C405" s="2"/>
      <c r="D405" s="6">
        <v>0.02</v>
      </c>
      <c r="E405" s="3" t="str">
        <f>VLOOKUP(B405,Produits!A:G,3,FALSE)</f>
        <v>Kilogramme</v>
      </c>
      <c r="F405" s="92">
        <f>VLOOKUP(B405,Produits!A:G,7,FALSE)</f>
        <v>29.428571428571434</v>
      </c>
      <c r="G405" s="95">
        <f t="shared" ref="G405" si="40">F405*D405</f>
        <v>0.58857142857142875</v>
      </c>
    </row>
    <row r="406" spans="1:7" x14ac:dyDescent="0.2">
      <c r="A406" s="12"/>
      <c r="B406" s="2" t="s">
        <v>166</v>
      </c>
      <c r="C406" s="2"/>
      <c r="D406" s="6">
        <v>4.0000000000000001E-3</v>
      </c>
      <c r="E406" s="3" t="str">
        <f>VLOOKUP(B406,Produits!A:G,3,FALSE)</f>
        <v>Litre</v>
      </c>
      <c r="F406" s="92">
        <f>VLOOKUP(B406,Produits!A:G,7,FALSE)</f>
        <v>22.214285714285715</v>
      </c>
      <c r="G406" s="95">
        <f t="shared" ref="G406:G407" si="41">F406*D406</f>
        <v>8.8857142857142857E-2</v>
      </c>
    </row>
    <row r="407" spans="1:7" x14ac:dyDescent="0.2">
      <c r="A407" s="12"/>
      <c r="B407" s="2" t="s">
        <v>9</v>
      </c>
      <c r="C407" s="2"/>
      <c r="D407" s="6">
        <v>4</v>
      </c>
      <c r="E407" s="3" t="str">
        <f>VLOOKUP(B407,Produits!A:G,3,FALSE)</f>
        <v>Pièce</v>
      </c>
      <c r="F407" s="92">
        <f>VLOOKUP(B407,Produits!A:G,7,FALSE)</f>
        <v>0.35749999999999998</v>
      </c>
      <c r="G407" s="95">
        <f t="shared" si="41"/>
        <v>1.43</v>
      </c>
    </row>
    <row r="408" spans="1:7" x14ac:dyDescent="0.2">
      <c r="A408" s="12"/>
      <c r="B408" s="2" t="s">
        <v>15</v>
      </c>
      <c r="C408" s="2"/>
      <c r="D408" s="6">
        <v>0.1</v>
      </c>
      <c r="E408" s="3" t="str">
        <f>VLOOKUP(B408,Produits!A:G,3,FALSE)</f>
        <v>Kilogramme</v>
      </c>
      <c r="F408" s="92">
        <f>VLOOKUP(B408,Produits!A:G,7,FALSE)</f>
        <v>9.58</v>
      </c>
      <c r="G408" s="95">
        <f t="shared" si="39"/>
        <v>0.95800000000000007</v>
      </c>
    </row>
    <row r="409" spans="1:7" ht="17" x14ac:dyDescent="0.2">
      <c r="A409" s="12"/>
      <c r="B409" s="90" t="s">
        <v>86</v>
      </c>
      <c r="C409" s="90"/>
      <c r="D409" s="103"/>
      <c r="E409" s="94"/>
      <c r="F409" s="94"/>
      <c r="G409" s="95">
        <f>SUM(G401:G408)</f>
        <v>5.7762285714285717</v>
      </c>
    </row>
    <row r="410" spans="1:7" x14ac:dyDescent="0.2">
      <c r="A410" s="12"/>
      <c r="B410" s="89" t="s">
        <v>138</v>
      </c>
      <c r="C410" s="89"/>
      <c r="D410" s="6">
        <v>15</v>
      </c>
      <c r="E410" s="12"/>
      <c r="F410" s="12"/>
      <c r="G410" s="12"/>
    </row>
    <row r="411" spans="1:7" s="15" customFormat="1" x14ac:dyDescent="0.2">
      <c r="A411" s="12"/>
      <c r="B411" s="89" t="s">
        <v>129</v>
      </c>
      <c r="C411" s="89"/>
      <c r="D411" s="104">
        <f>G409/D410</f>
        <v>0.38508190476190479</v>
      </c>
      <c r="E411" s="12"/>
      <c r="F411" s="12"/>
      <c r="G411" s="12"/>
    </row>
    <row r="413" spans="1:7" s="19" customFormat="1" x14ac:dyDescent="0.2">
      <c r="A413" s="74" t="s">
        <v>154</v>
      </c>
      <c r="B413" s="74" t="s">
        <v>140</v>
      </c>
      <c r="C413" s="74"/>
      <c r="D413" s="75"/>
      <c r="E413" s="74"/>
      <c r="F413" s="76"/>
      <c r="G413" s="76"/>
    </row>
    <row r="414" spans="1:7" ht="17" x14ac:dyDescent="0.2">
      <c r="A414" s="76"/>
      <c r="B414" s="76"/>
      <c r="C414" s="76"/>
      <c r="D414" s="87" t="s">
        <v>82</v>
      </c>
      <c r="E414" s="87" t="s">
        <v>83</v>
      </c>
      <c r="F414" s="87" t="s">
        <v>84</v>
      </c>
      <c r="G414" s="87" t="s">
        <v>85</v>
      </c>
    </row>
    <row r="415" spans="1:7" x14ac:dyDescent="0.2">
      <c r="A415" s="76"/>
      <c r="B415" s="2" t="s">
        <v>355</v>
      </c>
      <c r="C415" s="2"/>
      <c r="D415" s="6">
        <v>1</v>
      </c>
      <c r="E415" s="3" t="str">
        <f>VLOOKUP(B415,Produits!A:G,3,FALSE)</f>
        <v>Pièce</v>
      </c>
      <c r="F415" s="92">
        <f>VLOOKUP(B415,Produits!A:G,7,FALSE)</f>
        <v>0.35655416666666662</v>
      </c>
      <c r="G415" s="95">
        <f>F415*D415</f>
        <v>0.35655416666666662</v>
      </c>
    </row>
    <row r="416" spans="1:7" x14ac:dyDescent="0.2">
      <c r="A416" s="76"/>
      <c r="B416" s="2" t="s">
        <v>165</v>
      </c>
      <c r="C416" s="2"/>
      <c r="D416" s="6">
        <v>1</v>
      </c>
      <c r="E416" s="3" t="str">
        <f>VLOOKUP(B416,Produits!A:G,3,FALSE)</f>
        <v>Pièce</v>
      </c>
      <c r="F416" s="92">
        <f>VLOOKUP(B416,Produits!A:G,7,FALSE)</f>
        <v>0.38508190476190479</v>
      </c>
      <c r="G416" s="95">
        <f t="shared" ref="G416:G417" si="42">F416*D416</f>
        <v>0.38508190476190479</v>
      </c>
    </row>
    <row r="417" spans="1:7" x14ac:dyDescent="0.2">
      <c r="A417" s="76"/>
      <c r="B417" s="2" t="s">
        <v>15</v>
      </c>
      <c r="C417" s="2"/>
      <c r="D417" s="6">
        <v>5.0000000000000001E-3</v>
      </c>
      <c r="E417" s="3" t="str">
        <f>VLOOKUP(B417,Produits!A:G,3,FALSE)</f>
        <v>Kilogramme</v>
      </c>
      <c r="F417" s="92">
        <f>VLOOKUP(B417,Produits!A:G,7,FALSE)</f>
        <v>9.58</v>
      </c>
      <c r="G417" s="95">
        <f t="shared" si="42"/>
        <v>4.7899999999999998E-2</v>
      </c>
    </row>
    <row r="418" spans="1:7" ht="17" x14ac:dyDescent="0.2">
      <c r="A418" s="76"/>
      <c r="B418" s="90" t="s">
        <v>86</v>
      </c>
      <c r="C418" s="90"/>
      <c r="D418" s="103"/>
      <c r="E418" s="94"/>
      <c r="F418" s="94"/>
      <c r="G418" s="95">
        <f>SUM(G414:G417)</f>
        <v>0.78953607142857152</v>
      </c>
    </row>
    <row r="419" spans="1:7" x14ac:dyDescent="0.2">
      <c r="A419" s="76"/>
      <c r="B419" s="89" t="s">
        <v>138</v>
      </c>
      <c r="C419" s="89"/>
      <c r="D419" s="6">
        <v>1</v>
      </c>
      <c r="E419" s="76"/>
      <c r="F419" s="76"/>
      <c r="G419" s="76"/>
    </row>
    <row r="420" spans="1:7" s="15" customFormat="1" x14ac:dyDescent="0.2">
      <c r="A420" s="76"/>
      <c r="B420" s="89" t="s">
        <v>129</v>
      </c>
      <c r="C420" s="89"/>
      <c r="D420" s="104">
        <f>G418/D419</f>
        <v>0.78953607142857152</v>
      </c>
      <c r="E420" s="76"/>
      <c r="F420" s="76"/>
      <c r="G420" s="76"/>
    </row>
    <row r="422" spans="1:7" s="19" customFormat="1" x14ac:dyDescent="0.2">
      <c r="A422" s="74" t="s">
        <v>154</v>
      </c>
      <c r="B422" s="74" t="s">
        <v>401</v>
      </c>
      <c r="C422" s="74"/>
      <c r="D422" s="75"/>
      <c r="E422" s="74"/>
      <c r="F422" s="76"/>
      <c r="G422" s="76"/>
    </row>
    <row r="423" spans="1:7" ht="17" x14ac:dyDescent="0.2">
      <c r="A423" s="76"/>
      <c r="B423" s="76"/>
      <c r="C423" s="76"/>
      <c r="D423" s="87" t="s">
        <v>82</v>
      </c>
      <c r="E423" s="87" t="s">
        <v>83</v>
      </c>
      <c r="F423" s="87" t="s">
        <v>84</v>
      </c>
      <c r="G423" s="87" t="s">
        <v>85</v>
      </c>
    </row>
    <row r="424" spans="1:7" x14ac:dyDescent="0.2">
      <c r="A424" s="76"/>
      <c r="B424" s="2" t="s">
        <v>355</v>
      </c>
      <c r="C424" s="2"/>
      <c r="D424" s="6">
        <v>1</v>
      </c>
      <c r="E424" s="3" t="str">
        <f>VLOOKUP(B424,Produits!A:G,3,FALSE)</f>
        <v>Pièce</v>
      </c>
      <c r="F424" s="92">
        <f>VLOOKUP(B424,Produits!A:G,7,FALSE)</f>
        <v>0.35655416666666662</v>
      </c>
      <c r="G424" s="95">
        <f>F424*D424</f>
        <v>0.35655416666666662</v>
      </c>
    </row>
    <row r="425" spans="1:7" x14ac:dyDescent="0.2">
      <c r="A425" s="76"/>
      <c r="B425" s="2" t="s">
        <v>106</v>
      </c>
      <c r="C425" s="2"/>
      <c r="D425" s="6">
        <v>0.02</v>
      </c>
      <c r="E425" s="3" t="str">
        <f>VLOOKUP(B425,Produits!A:G,3,FALSE)</f>
        <v>Litre</v>
      </c>
      <c r="F425" s="92">
        <f>VLOOKUP(B425,Produits!A:G,7,FALSE)</f>
        <v>4.49</v>
      </c>
      <c r="G425" s="95">
        <f t="shared" ref="G425:G427" si="43">F425*D425</f>
        <v>8.9800000000000005E-2</v>
      </c>
    </row>
    <row r="426" spans="1:7" x14ac:dyDescent="0.2">
      <c r="A426" s="76"/>
      <c r="B426" s="2" t="s">
        <v>65</v>
      </c>
      <c r="C426" s="2"/>
      <c r="D426" s="6">
        <v>0.05</v>
      </c>
      <c r="E426" s="3" t="str">
        <f>VLOOKUP(B426,Produits!A:G,3,FALSE)</f>
        <v>Kilogramme</v>
      </c>
      <c r="F426" s="92">
        <f>VLOOKUP(B426,Produits!A:G,7,FALSE)</f>
        <v>1.85</v>
      </c>
      <c r="G426" s="95">
        <f t="shared" si="43"/>
        <v>9.2500000000000013E-2</v>
      </c>
    </row>
    <row r="427" spans="1:7" x14ac:dyDescent="0.2">
      <c r="A427" s="76"/>
      <c r="B427" s="2" t="s">
        <v>162</v>
      </c>
      <c r="C427" s="2"/>
      <c r="D427" s="6">
        <v>1</v>
      </c>
      <c r="E427" s="3" t="str">
        <f>VLOOKUP(B427,Produits!A:G,3,FALSE)</f>
        <v>Pièce</v>
      </c>
      <c r="F427" s="92">
        <f>VLOOKUP(B427,Produits!A:G,7,FALSE)</f>
        <v>6.2586666666666665E-2</v>
      </c>
      <c r="G427" s="95">
        <f t="shared" si="43"/>
        <v>6.2586666666666665E-2</v>
      </c>
    </row>
    <row r="428" spans="1:7" ht="17" x14ac:dyDescent="0.2">
      <c r="A428" s="76"/>
      <c r="B428" s="90" t="s">
        <v>86</v>
      </c>
      <c r="C428" s="90"/>
      <c r="D428" s="103"/>
      <c r="E428" s="94"/>
      <c r="F428" s="94"/>
      <c r="G428" s="95">
        <f>SUM(G423:G427)</f>
        <v>0.60144083333333331</v>
      </c>
    </row>
    <row r="429" spans="1:7" x14ac:dyDescent="0.2">
      <c r="A429" s="76"/>
      <c r="B429" s="89" t="s">
        <v>138</v>
      </c>
      <c r="C429" s="89"/>
      <c r="D429" s="6">
        <v>1</v>
      </c>
      <c r="E429" s="76"/>
      <c r="F429" s="76"/>
      <c r="G429" s="76"/>
    </row>
    <row r="430" spans="1:7" s="15" customFormat="1" x14ac:dyDescent="0.2">
      <c r="A430" s="76"/>
      <c r="B430" s="89" t="s">
        <v>129</v>
      </c>
      <c r="C430" s="89"/>
      <c r="D430" s="104">
        <f>G428/D429</f>
        <v>0.60144083333333331</v>
      </c>
      <c r="E430" s="76"/>
      <c r="F430" s="76"/>
      <c r="G430" s="76"/>
    </row>
    <row r="432" spans="1:7" s="19" customFormat="1" x14ac:dyDescent="0.2">
      <c r="A432" s="12" t="s">
        <v>115</v>
      </c>
      <c r="B432" s="12" t="s">
        <v>167</v>
      </c>
      <c r="C432" s="12"/>
      <c r="D432" s="13"/>
      <c r="E432" s="12"/>
      <c r="F432" s="14"/>
      <c r="G432" s="14"/>
    </row>
    <row r="433" spans="1:7" ht="17" x14ac:dyDescent="0.2">
      <c r="A433" s="12"/>
      <c r="B433" s="12"/>
      <c r="C433" s="12"/>
      <c r="D433" s="87" t="s">
        <v>82</v>
      </c>
      <c r="E433" s="87" t="s">
        <v>83</v>
      </c>
      <c r="F433" s="87" t="s">
        <v>84</v>
      </c>
      <c r="G433" s="87" t="s">
        <v>85</v>
      </c>
    </row>
    <row r="434" spans="1:7" x14ac:dyDescent="0.2">
      <c r="A434" s="12"/>
      <c r="B434" s="2" t="s">
        <v>8</v>
      </c>
      <c r="C434" s="2"/>
      <c r="D434" s="6">
        <v>0.05</v>
      </c>
      <c r="E434" s="3" t="str">
        <f>VLOOKUP(B434,Produits!A:G,3,FALSE)</f>
        <v>Litre</v>
      </c>
      <c r="F434" s="92">
        <f>VLOOKUP(B434,Produits!A:G,7,FALSE)</f>
        <v>1.46</v>
      </c>
      <c r="G434" s="95">
        <f t="shared" ref="G434:G437" si="44">F434*D434</f>
        <v>7.2999999999999995E-2</v>
      </c>
    </row>
    <row r="435" spans="1:7" x14ac:dyDescent="0.2">
      <c r="A435" s="12"/>
      <c r="B435" s="2" t="s">
        <v>106</v>
      </c>
      <c r="C435" s="2"/>
      <c r="D435" s="6">
        <v>0.05</v>
      </c>
      <c r="E435" s="3" t="str">
        <f>VLOOKUP(B435,Produits!A:G,3,FALSE)</f>
        <v>Litre</v>
      </c>
      <c r="F435" s="92">
        <f>VLOOKUP(B435,Produits!A:G,7,FALSE)</f>
        <v>4.49</v>
      </c>
      <c r="G435" s="95">
        <f t="shared" si="44"/>
        <v>0.22450000000000003</v>
      </c>
    </row>
    <row r="436" spans="1:7" x14ac:dyDescent="0.2">
      <c r="A436" s="12"/>
      <c r="B436" s="2" t="s">
        <v>65</v>
      </c>
      <c r="C436" s="2"/>
      <c r="D436" s="6">
        <v>0.02</v>
      </c>
      <c r="E436" s="3" t="str">
        <f>VLOOKUP(B436,Produits!A:G,3,FALSE)</f>
        <v>Kilogramme</v>
      </c>
      <c r="F436" s="92">
        <f>VLOOKUP(B436,Produits!A:G,7,FALSE)</f>
        <v>1.85</v>
      </c>
      <c r="G436" s="95">
        <f t="shared" ref="G436" si="45">F436*D436</f>
        <v>3.7000000000000005E-2</v>
      </c>
    </row>
    <row r="437" spans="1:7" x14ac:dyDescent="0.2">
      <c r="A437" s="12"/>
      <c r="B437" s="2" t="s">
        <v>49</v>
      </c>
      <c r="C437" s="2"/>
      <c r="D437" s="6">
        <v>0.13</v>
      </c>
      <c r="E437" s="3" t="str">
        <f>VLOOKUP(B437,Produits!A:G,3,FALSE)</f>
        <v>Kilogramme</v>
      </c>
      <c r="F437" s="92">
        <f>VLOOKUP(B437,Produits!A:G,7,FALSE)</f>
        <v>9.234</v>
      </c>
      <c r="G437" s="95">
        <f t="shared" si="44"/>
        <v>1.20042</v>
      </c>
    </row>
    <row r="438" spans="1:7" ht="17" x14ac:dyDescent="0.2">
      <c r="A438" s="12"/>
      <c r="B438" s="90" t="s">
        <v>86</v>
      </c>
      <c r="C438" s="90"/>
      <c r="D438" s="103"/>
      <c r="E438" s="94"/>
      <c r="F438" s="94"/>
      <c r="G438" s="95">
        <f>SUM(G434:G437)</f>
        <v>1.5349200000000001</v>
      </c>
    </row>
    <row r="439" spans="1:7" x14ac:dyDescent="0.2">
      <c r="A439" s="12"/>
      <c r="B439" s="89" t="s">
        <v>138</v>
      </c>
      <c r="C439" s="89"/>
      <c r="D439" s="6">
        <v>10</v>
      </c>
      <c r="E439" s="12"/>
      <c r="F439" s="12"/>
      <c r="G439" s="12"/>
    </row>
    <row r="440" spans="1:7" s="15" customFormat="1" x14ac:dyDescent="0.2">
      <c r="A440" s="12"/>
      <c r="B440" s="89" t="s">
        <v>129</v>
      </c>
      <c r="C440" s="89"/>
      <c r="D440" s="104">
        <f>G438/D439</f>
        <v>0.15349200000000002</v>
      </c>
      <c r="E440" s="12"/>
      <c r="F440" s="12"/>
      <c r="G440" s="12"/>
    </row>
    <row r="442" spans="1:7" s="19" customFormat="1" x14ac:dyDescent="0.2">
      <c r="A442" s="21" t="s">
        <v>155</v>
      </c>
      <c r="B442" s="21" t="s">
        <v>141</v>
      </c>
      <c r="C442" s="21"/>
      <c r="D442" s="22"/>
      <c r="E442" s="21"/>
      <c r="F442" s="23"/>
      <c r="G442" s="23"/>
    </row>
    <row r="443" spans="1:7" ht="17" x14ac:dyDescent="0.2">
      <c r="A443" s="21"/>
      <c r="B443" s="21"/>
      <c r="C443" s="21"/>
      <c r="D443" s="87" t="s">
        <v>82</v>
      </c>
      <c r="E443" s="87" t="s">
        <v>83</v>
      </c>
      <c r="F443" s="87" t="s">
        <v>84</v>
      </c>
      <c r="G443" s="87" t="s">
        <v>85</v>
      </c>
    </row>
    <row r="444" spans="1:7" x14ac:dyDescent="0.2">
      <c r="A444" s="21"/>
      <c r="B444" s="2" t="s">
        <v>355</v>
      </c>
      <c r="C444" s="2"/>
      <c r="D444" s="6">
        <v>1</v>
      </c>
      <c r="E444" s="3" t="str">
        <f>VLOOKUP(B444,Produits!A:G,3,FALSE)</f>
        <v>Pièce</v>
      </c>
      <c r="F444" s="92">
        <f>VLOOKUP(B444,Produits!A:G,7,FALSE)</f>
        <v>0.35655416666666662</v>
      </c>
      <c r="G444" s="95">
        <f>F444*D444</f>
        <v>0.35655416666666662</v>
      </c>
    </row>
    <row r="445" spans="1:7" x14ac:dyDescent="0.2">
      <c r="A445" s="21"/>
      <c r="B445" s="2" t="s">
        <v>167</v>
      </c>
      <c r="C445" s="2"/>
      <c r="D445" s="6">
        <v>1</v>
      </c>
      <c r="E445" s="3" t="str">
        <f>VLOOKUP(B445,Produits!A:G,3,FALSE)</f>
        <v>Pièce</v>
      </c>
      <c r="F445" s="92">
        <f>VLOOKUP(B445,Produits!A:G,7,FALSE)</f>
        <v>0.15349200000000002</v>
      </c>
      <c r="G445" s="95">
        <f t="shared" ref="G445:G446" si="46">F445*D445</f>
        <v>0.15349200000000002</v>
      </c>
    </row>
    <row r="446" spans="1:7" x14ac:dyDescent="0.2">
      <c r="A446" s="21"/>
      <c r="B446" s="2" t="s">
        <v>15</v>
      </c>
      <c r="C446" s="2"/>
      <c r="D446" s="6">
        <v>5.0000000000000001E-3</v>
      </c>
      <c r="E446" s="3" t="str">
        <f>VLOOKUP(B446,Produits!A:G,3,FALSE)</f>
        <v>Kilogramme</v>
      </c>
      <c r="F446" s="92">
        <f>VLOOKUP(B446,Produits!A:G,7,FALSE)</f>
        <v>9.58</v>
      </c>
      <c r="G446" s="95">
        <f t="shared" si="46"/>
        <v>4.7899999999999998E-2</v>
      </c>
    </row>
    <row r="447" spans="1:7" ht="17" x14ac:dyDescent="0.2">
      <c r="A447" s="21"/>
      <c r="B447" s="90" t="s">
        <v>86</v>
      </c>
      <c r="C447" s="90"/>
      <c r="D447" s="103"/>
      <c r="E447" s="94"/>
      <c r="F447" s="94"/>
      <c r="G447" s="95">
        <f>SUM(G443:G446)</f>
        <v>0.55794616666666674</v>
      </c>
    </row>
    <row r="448" spans="1:7" x14ac:dyDescent="0.2">
      <c r="A448" s="21"/>
      <c r="B448" s="89" t="s">
        <v>138</v>
      </c>
      <c r="C448" s="89"/>
      <c r="D448" s="6">
        <v>1</v>
      </c>
      <c r="E448" s="21"/>
      <c r="F448" s="21"/>
      <c r="G448" s="21"/>
    </row>
    <row r="449" spans="1:7" s="15" customFormat="1" x14ac:dyDescent="0.2">
      <c r="A449" s="21"/>
      <c r="B449" s="89" t="s">
        <v>129</v>
      </c>
      <c r="C449" s="89"/>
      <c r="D449" s="104">
        <f>G447/D448</f>
        <v>0.55794616666666674</v>
      </c>
      <c r="E449" s="21"/>
      <c r="F449" s="21"/>
      <c r="G449" s="21"/>
    </row>
    <row r="451" spans="1:7" s="19" customFormat="1" x14ac:dyDescent="0.2">
      <c r="A451" s="21" t="s">
        <v>155</v>
      </c>
      <c r="B451" s="21" t="s">
        <v>142</v>
      </c>
      <c r="C451" s="21"/>
      <c r="D451" s="22"/>
      <c r="E451" s="21"/>
      <c r="F451" s="23"/>
      <c r="G451" s="23"/>
    </row>
    <row r="452" spans="1:7" ht="17" x14ac:dyDescent="0.2">
      <c r="A452" s="21"/>
      <c r="B452" s="21"/>
      <c r="C452" s="21"/>
      <c r="D452" s="87" t="s">
        <v>82</v>
      </c>
      <c r="E452" s="87" t="s">
        <v>83</v>
      </c>
      <c r="F452" s="87" t="s">
        <v>84</v>
      </c>
      <c r="G452" s="87" t="s">
        <v>85</v>
      </c>
    </row>
    <row r="453" spans="1:7" x14ac:dyDescent="0.2">
      <c r="A453" s="21"/>
      <c r="B453" s="2" t="s">
        <v>355</v>
      </c>
      <c r="C453" s="2"/>
      <c r="D453" s="6">
        <v>1</v>
      </c>
      <c r="E453" s="3" t="str">
        <f>VLOOKUP(B453,Produits!A:G,3,FALSE)</f>
        <v>Pièce</v>
      </c>
      <c r="F453" s="92">
        <f>VLOOKUP(B453,Produits!A:G,7,FALSE)</f>
        <v>0.35655416666666662</v>
      </c>
      <c r="G453" s="95">
        <f>F453*D453</f>
        <v>0.35655416666666662</v>
      </c>
    </row>
    <row r="454" spans="1:7" x14ac:dyDescent="0.2">
      <c r="A454" s="21"/>
      <c r="B454" s="2" t="s">
        <v>167</v>
      </c>
      <c r="C454" s="2"/>
      <c r="D454" s="6">
        <v>1</v>
      </c>
      <c r="E454" s="3" t="str">
        <f>VLOOKUP(B454,Produits!A:G,3,FALSE)</f>
        <v>Pièce</v>
      </c>
      <c r="F454" s="92">
        <f>VLOOKUP(B454,Produits!A:G,7,FALSE)</f>
        <v>0.15349200000000002</v>
      </c>
      <c r="G454" s="95">
        <f t="shared" ref="G454:G456" si="47">F454*D454</f>
        <v>0.15349200000000002</v>
      </c>
    </row>
    <row r="455" spans="1:7" x14ac:dyDescent="0.2">
      <c r="A455" s="21"/>
      <c r="B455" s="2" t="s">
        <v>106</v>
      </c>
      <c r="C455" s="2"/>
      <c r="D455" s="6">
        <v>0.02</v>
      </c>
      <c r="E455" s="3" t="str">
        <f>VLOOKUP(B455,Produits!A:G,3,FALSE)</f>
        <v>Litre</v>
      </c>
      <c r="F455" s="92">
        <f>VLOOKUP(B455,Produits!A:G,7,FALSE)</f>
        <v>4.49</v>
      </c>
      <c r="G455" s="95">
        <f t="shared" si="47"/>
        <v>8.9800000000000005E-2</v>
      </c>
    </row>
    <row r="456" spans="1:7" x14ac:dyDescent="0.2">
      <c r="A456" s="21"/>
      <c r="B456" s="2" t="s">
        <v>51</v>
      </c>
      <c r="C456" s="2"/>
      <c r="D456" s="6">
        <v>0.03</v>
      </c>
      <c r="E456" s="3" t="str">
        <f>VLOOKUP(B456,Produits!A:G,3,FALSE)</f>
        <v>Kilogramme</v>
      </c>
      <c r="F456" s="92">
        <f>VLOOKUP(B456,Produits!A:G,7,FALSE)</f>
        <v>3.69</v>
      </c>
      <c r="G456" s="95">
        <f t="shared" si="47"/>
        <v>0.11069999999999999</v>
      </c>
    </row>
    <row r="457" spans="1:7" ht="17" x14ac:dyDescent="0.2">
      <c r="A457" s="21"/>
      <c r="B457" s="90" t="s">
        <v>86</v>
      </c>
      <c r="C457" s="90"/>
      <c r="D457" s="103"/>
      <c r="E457" s="94"/>
      <c r="F457" s="94"/>
      <c r="G457" s="95">
        <f>SUM(G452:G456)</f>
        <v>0.7105461666666667</v>
      </c>
    </row>
    <row r="458" spans="1:7" x14ac:dyDescent="0.2">
      <c r="A458" s="21"/>
      <c r="B458" s="89" t="s">
        <v>138</v>
      </c>
      <c r="C458" s="89"/>
      <c r="D458" s="6">
        <v>1</v>
      </c>
      <c r="E458" s="21"/>
      <c r="F458" s="21"/>
      <c r="G458" s="21"/>
    </row>
    <row r="459" spans="1:7" s="15" customFormat="1" x14ac:dyDescent="0.2">
      <c r="A459" s="21"/>
      <c r="B459" s="89" t="s">
        <v>129</v>
      </c>
      <c r="C459" s="89"/>
      <c r="D459" s="104">
        <f>G457/D458</f>
        <v>0.7105461666666667</v>
      </c>
      <c r="E459" s="21"/>
      <c r="F459" s="21"/>
      <c r="G459" s="21"/>
    </row>
    <row r="461" spans="1:7" s="19" customFormat="1" x14ac:dyDescent="0.2">
      <c r="A461" s="12" t="s">
        <v>115</v>
      </c>
      <c r="B461" s="12" t="s">
        <v>168</v>
      </c>
      <c r="C461" s="12"/>
      <c r="D461" s="13"/>
      <c r="E461" s="12"/>
      <c r="F461" s="14"/>
      <c r="G461" s="14"/>
    </row>
    <row r="462" spans="1:7" ht="17" x14ac:dyDescent="0.2">
      <c r="A462" s="12"/>
      <c r="B462" s="12"/>
      <c r="C462" s="12"/>
      <c r="D462" s="87" t="s">
        <v>82</v>
      </c>
      <c r="E462" s="87" t="s">
        <v>83</v>
      </c>
      <c r="F462" s="87" t="s">
        <v>84</v>
      </c>
      <c r="G462" s="87" t="s">
        <v>85</v>
      </c>
    </row>
    <row r="463" spans="1:7" x14ac:dyDescent="0.2">
      <c r="A463" s="12"/>
      <c r="B463" s="2" t="s">
        <v>8</v>
      </c>
      <c r="C463" s="2"/>
      <c r="D463" s="6">
        <v>0.05</v>
      </c>
      <c r="E463" s="3" t="str">
        <f>VLOOKUP(B463,Produits!A:G,3,FALSE)</f>
        <v>Litre</v>
      </c>
      <c r="F463" s="92">
        <f>VLOOKUP(B463,Produits!A:G,7,FALSE)</f>
        <v>1.46</v>
      </c>
      <c r="G463" s="95">
        <f t="shared" ref="G463:G466" si="48">F463*D463</f>
        <v>7.2999999999999995E-2</v>
      </c>
    </row>
    <row r="464" spans="1:7" x14ac:dyDescent="0.2">
      <c r="A464" s="12"/>
      <c r="B464" s="2" t="s">
        <v>106</v>
      </c>
      <c r="C464" s="2"/>
      <c r="D464" s="6">
        <v>0.05</v>
      </c>
      <c r="E464" s="3" t="str">
        <f>VLOOKUP(B464,Produits!A:G,3,FALSE)</f>
        <v>Litre</v>
      </c>
      <c r="F464" s="92">
        <f>VLOOKUP(B464,Produits!A:G,7,FALSE)</f>
        <v>4.49</v>
      </c>
      <c r="G464" s="95">
        <f t="shared" si="48"/>
        <v>0.22450000000000003</v>
      </c>
    </row>
    <row r="465" spans="1:7" x14ac:dyDescent="0.2">
      <c r="A465" s="12"/>
      <c r="B465" s="2" t="s">
        <v>65</v>
      </c>
      <c r="C465" s="2"/>
      <c r="D465" s="6">
        <v>0.02</v>
      </c>
      <c r="E465" s="3" t="str">
        <f>VLOOKUP(B465,Produits!A:G,3,FALSE)</f>
        <v>Kilogramme</v>
      </c>
      <c r="F465" s="92">
        <f>VLOOKUP(B465,Produits!A:G,7,FALSE)</f>
        <v>1.85</v>
      </c>
      <c r="G465" s="95">
        <f t="shared" si="48"/>
        <v>3.7000000000000005E-2</v>
      </c>
    </row>
    <row r="466" spans="1:7" x14ac:dyDescent="0.2">
      <c r="A466" s="12"/>
      <c r="B466" s="2" t="s">
        <v>50</v>
      </c>
      <c r="C466" s="2"/>
      <c r="D466" s="6">
        <v>0.13</v>
      </c>
      <c r="E466" s="3" t="str">
        <f>VLOOKUP(B466,Produits!A:G,3,FALSE)</f>
        <v>Kilogramme</v>
      </c>
      <c r="F466" s="92">
        <f>VLOOKUP(B466,Produits!A:G,7,FALSE)</f>
        <v>23.32</v>
      </c>
      <c r="G466" s="95">
        <f t="shared" si="48"/>
        <v>3.0316000000000001</v>
      </c>
    </row>
    <row r="467" spans="1:7" ht="17" x14ac:dyDescent="0.2">
      <c r="A467" s="12"/>
      <c r="B467" s="90" t="s">
        <v>86</v>
      </c>
      <c r="C467" s="90"/>
      <c r="D467" s="103"/>
      <c r="E467" s="94"/>
      <c r="F467" s="94"/>
      <c r="G467" s="95">
        <f>SUM(G463:G466)</f>
        <v>3.3661000000000003</v>
      </c>
    </row>
    <row r="468" spans="1:7" x14ac:dyDescent="0.2">
      <c r="A468" s="12"/>
      <c r="B468" s="89" t="s">
        <v>138</v>
      </c>
      <c r="C468" s="89"/>
      <c r="D468" s="6">
        <v>10</v>
      </c>
      <c r="E468" s="12"/>
      <c r="F468" s="12"/>
      <c r="G468" s="12"/>
    </row>
    <row r="469" spans="1:7" s="15" customFormat="1" x14ac:dyDescent="0.2">
      <c r="A469" s="12"/>
      <c r="B469" s="89" t="s">
        <v>129</v>
      </c>
      <c r="C469" s="89"/>
      <c r="D469" s="104">
        <f>G467/D468</f>
        <v>0.33661000000000002</v>
      </c>
      <c r="E469" s="12"/>
      <c r="F469" s="12"/>
      <c r="G469" s="12"/>
    </row>
    <row r="471" spans="1:7" s="19" customFormat="1" x14ac:dyDescent="0.2">
      <c r="A471" s="21" t="s">
        <v>155</v>
      </c>
      <c r="B471" s="21" t="s">
        <v>143</v>
      </c>
      <c r="C471" s="21"/>
      <c r="D471" s="22"/>
      <c r="E471" s="21"/>
      <c r="F471" s="23"/>
      <c r="G471" s="23"/>
    </row>
    <row r="472" spans="1:7" ht="17" x14ac:dyDescent="0.2">
      <c r="A472" s="21"/>
      <c r="B472" s="21"/>
      <c r="C472" s="21"/>
      <c r="D472" s="87" t="s">
        <v>82</v>
      </c>
      <c r="E472" s="87" t="s">
        <v>83</v>
      </c>
      <c r="F472" s="87" t="s">
        <v>84</v>
      </c>
      <c r="G472" s="87" t="s">
        <v>85</v>
      </c>
    </row>
    <row r="473" spans="1:7" x14ac:dyDescent="0.2">
      <c r="A473" s="21"/>
      <c r="B473" s="2" t="s">
        <v>355</v>
      </c>
      <c r="C473" s="2"/>
      <c r="D473" s="6">
        <v>1</v>
      </c>
      <c r="E473" s="3" t="str">
        <f>VLOOKUP(B473,Produits!A:G,3,FALSE)</f>
        <v>Pièce</v>
      </c>
      <c r="F473" s="92">
        <f>VLOOKUP(B473,Produits!A:G,7,FALSE)</f>
        <v>0.35655416666666662</v>
      </c>
      <c r="G473" s="95">
        <f>F473*D473</f>
        <v>0.35655416666666662</v>
      </c>
    </row>
    <row r="474" spans="1:7" x14ac:dyDescent="0.2">
      <c r="A474" s="21"/>
      <c r="B474" s="2" t="s">
        <v>106</v>
      </c>
      <c r="C474" s="2"/>
      <c r="D474" s="6">
        <v>0.02</v>
      </c>
      <c r="E474" s="3" t="str">
        <f>VLOOKUP(B474,Produits!A:G,3,FALSE)</f>
        <v>Litre</v>
      </c>
      <c r="F474" s="92">
        <f>VLOOKUP(B474,Produits!A:G,7,FALSE)</f>
        <v>4.49</v>
      </c>
      <c r="G474" s="95">
        <f t="shared" ref="G474" si="49">F474*D474</f>
        <v>8.9800000000000005E-2</v>
      </c>
    </row>
    <row r="475" spans="1:7" x14ac:dyDescent="0.2">
      <c r="A475" s="21"/>
      <c r="B475" s="2" t="s">
        <v>168</v>
      </c>
      <c r="C475" s="2"/>
      <c r="D475" s="6">
        <v>1</v>
      </c>
      <c r="E475" s="3" t="str">
        <f>VLOOKUP(B475,Produits!A:G,3,FALSE)</f>
        <v>Pièce</v>
      </c>
      <c r="F475" s="92">
        <f>VLOOKUP(B475,Produits!A:G,7,FALSE)</f>
        <v>0.33661000000000002</v>
      </c>
      <c r="G475" s="95">
        <f t="shared" ref="G475" si="50">F475*D475</f>
        <v>0.33661000000000002</v>
      </c>
    </row>
    <row r="476" spans="1:7" ht="17" x14ac:dyDescent="0.2">
      <c r="A476" s="21"/>
      <c r="B476" s="91" t="s">
        <v>86</v>
      </c>
      <c r="C476" s="91"/>
      <c r="D476" s="94"/>
      <c r="E476" s="94"/>
      <c r="F476" s="94"/>
      <c r="G476" s="95">
        <f>SUM(G472:G475)</f>
        <v>0.78296416666666668</v>
      </c>
    </row>
    <row r="477" spans="1:7" x14ac:dyDescent="0.2">
      <c r="A477" s="21"/>
      <c r="B477" s="88" t="s">
        <v>138</v>
      </c>
      <c r="C477" s="88"/>
      <c r="D477" s="6">
        <v>1</v>
      </c>
      <c r="E477" s="21"/>
      <c r="F477" s="21"/>
      <c r="G477" s="21"/>
    </row>
    <row r="478" spans="1:7" s="15" customFormat="1" x14ac:dyDescent="0.2">
      <c r="A478" s="21"/>
      <c r="B478" s="88" t="s">
        <v>129</v>
      </c>
      <c r="C478" s="88"/>
      <c r="D478" s="96">
        <f>G476/D477</f>
        <v>0.78296416666666668</v>
      </c>
      <c r="E478" s="21"/>
      <c r="F478" s="21"/>
      <c r="G478" s="21"/>
    </row>
    <row r="480" spans="1:7" s="19" customFormat="1" x14ac:dyDescent="0.2">
      <c r="A480" s="12" t="s">
        <v>115</v>
      </c>
      <c r="B480" s="12" t="s">
        <v>169</v>
      </c>
      <c r="C480" s="12"/>
      <c r="D480" s="13"/>
      <c r="E480" s="12"/>
      <c r="F480" s="14"/>
      <c r="G480" s="14"/>
    </row>
    <row r="481" spans="1:7" ht="17" x14ac:dyDescent="0.2">
      <c r="A481" s="12"/>
      <c r="B481" s="12"/>
      <c r="C481" s="12"/>
      <c r="D481" s="87" t="s">
        <v>82</v>
      </c>
      <c r="E481" s="87" t="s">
        <v>83</v>
      </c>
      <c r="F481" s="87" t="s">
        <v>84</v>
      </c>
      <c r="G481" s="87" t="s">
        <v>85</v>
      </c>
    </row>
    <row r="482" spans="1:7" x14ac:dyDescent="0.2">
      <c r="A482" s="12"/>
      <c r="B482" s="2" t="s">
        <v>58</v>
      </c>
      <c r="C482" s="2"/>
      <c r="D482" s="6">
        <v>0.5</v>
      </c>
      <c r="E482" s="3" t="str">
        <f>VLOOKUP(B482,Produits!A:G,3,FALSE)</f>
        <v>Kilogramme</v>
      </c>
      <c r="F482" s="92">
        <f>VLOOKUP(B482,Produits!A:G,7,FALSE)</f>
        <v>2.6749999999999998</v>
      </c>
      <c r="G482" s="95">
        <f t="shared" ref="G482:G484" si="51">F482*D482</f>
        <v>1.3374999999999999</v>
      </c>
    </row>
    <row r="483" spans="1:7" x14ac:dyDescent="0.2">
      <c r="A483" s="12"/>
      <c r="B483" s="2" t="s">
        <v>65</v>
      </c>
      <c r="C483" s="2"/>
      <c r="D483" s="6">
        <v>0.05</v>
      </c>
      <c r="E483" s="3" t="str">
        <f>VLOOKUP(B483,Produits!A:G,3,FALSE)</f>
        <v>Kilogramme</v>
      </c>
      <c r="F483" s="92">
        <f>VLOOKUP(B483,Produits!A:G,7,FALSE)</f>
        <v>1.85</v>
      </c>
      <c r="G483" s="95">
        <f t="shared" si="51"/>
        <v>9.2500000000000013E-2</v>
      </c>
    </row>
    <row r="484" spans="1:7" x14ac:dyDescent="0.2">
      <c r="A484" s="12"/>
      <c r="B484" s="2" t="s">
        <v>15</v>
      </c>
      <c r="C484" s="2"/>
      <c r="D484" s="6">
        <v>0.02</v>
      </c>
      <c r="E484" s="3" t="str">
        <f>VLOOKUP(B484,Produits!A:G,3,FALSE)</f>
        <v>Kilogramme</v>
      </c>
      <c r="F484" s="92">
        <f>VLOOKUP(B484,Produits!A:G,7,FALSE)</f>
        <v>9.58</v>
      </c>
      <c r="G484" s="95">
        <f t="shared" si="51"/>
        <v>0.19159999999999999</v>
      </c>
    </row>
    <row r="485" spans="1:7" ht="17" x14ac:dyDescent="0.2">
      <c r="A485" s="12"/>
      <c r="B485" s="90" t="s">
        <v>86</v>
      </c>
      <c r="C485" s="90"/>
      <c r="D485" s="103"/>
      <c r="E485" s="94"/>
      <c r="F485" s="94"/>
      <c r="G485" s="95">
        <f>SUM(G482:G484)</f>
        <v>1.6215999999999999</v>
      </c>
    </row>
    <row r="486" spans="1:7" x14ac:dyDescent="0.2">
      <c r="A486" s="12"/>
      <c r="B486" s="89" t="s">
        <v>138</v>
      </c>
      <c r="C486" s="89"/>
      <c r="D486" s="104">
        <v>10</v>
      </c>
      <c r="E486" s="12"/>
      <c r="F486" s="12"/>
      <c r="G486" s="12"/>
    </row>
    <row r="487" spans="1:7" s="15" customFormat="1" x14ac:dyDescent="0.2">
      <c r="A487" s="12"/>
      <c r="B487" s="89" t="s">
        <v>129</v>
      </c>
      <c r="C487" s="89"/>
      <c r="D487" s="104">
        <f>G485/D486</f>
        <v>0.16216</v>
      </c>
      <c r="E487" s="12"/>
      <c r="F487" s="12"/>
      <c r="G487" s="12"/>
    </row>
    <row r="489" spans="1:7" s="19" customFormat="1" x14ac:dyDescent="0.2">
      <c r="A489" s="27" t="s">
        <v>156</v>
      </c>
      <c r="B489" s="27" t="s">
        <v>144</v>
      </c>
      <c r="C489" s="27"/>
      <c r="D489" s="28"/>
      <c r="E489" s="27"/>
      <c r="F489" s="29"/>
      <c r="G489" s="29"/>
    </row>
    <row r="490" spans="1:7" ht="17" x14ac:dyDescent="0.2">
      <c r="A490" s="28"/>
      <c r="B490" s="28"/>
      <c r="C490" s="28"/>
      <c r="D490" s="87" t="s">
        <v>82</v>
      </c>
      <c r="E490" s="87" t="s">
        <v>83</v>
      </c>
      <c r="F490" s="87" t="s">
        <v>84</v>
      </c>
      <c r="G490" s="87" t="s">
        <v>85</v>
      </c>
    </row>
    <row r="491" spans="1:7" x14ac:dyDescent="0.2">
      <c r="A491" s="28"/>
      <c r="B491" s="2" t="s">
        <v>355</v>
      </c>
      <c r="C491" s="2"/>
      <c r="D491" s="6">
        <v>1</v>
      </c>
      <c r="E491" s="3" t="str">
        <f>VLOOKUP(B491,Produits!A:G,3,FALSE)</f>
        <v>Pièce</v>
      </c>
      <c r="F491" s="92">
        <f>VLOOKUP(B491,Produits!A:G,7,FALSE)</f>
        <v>0.35655416666666662</v>
      </c>
      <c r="G491" s="95">
        <f>F491*D491</f>
        <v>0.35655416666666662</v>
      </c>
    </row>
    <row r="492" spans="1:7" x14ac:dyDescent="0.2">
      <c r="A492" s="28"/>
      <c r="B492" s="2" t="s">
        <v>52</v>
      </c>
      <c r="C492" s="2"/>
      <c r="D492" s="6">
        <v>0.02</v>
      </c>
      <c r="E492" s="3" t="str">
        <f>VLOOKUP(B492,Produits!A:G,3,FALSE)</f>
        <v>Kilogramme</v>
      </c>
      <c r="F492" s="92">
        <f>VLOOKUP(B492,Produits!A:G,7,FALSE)</f>
        <v>12</v>
      </c>
      <c r="G492" s="95">
        <f t="shared" ref="G492:G493" si="52">F492*D492</f>
        <v>0.24</v>
      </c>
    </row>
    <row r="493" spans="1:7" x14ac:dyDescent="0.2">
      <c r="A493" s="28"/>
      <c r="B493" s="2" t="s">
        <v>106</v>
      </c>
      <c r="C493" s="2"/>
      <c r="D493" s="6">
        <v>0.02</v>
      </c>
      <c r="E493" s="3" t="str">
        <f>VLOOKUP(B493,Produits!A:G,3,FALSE)</f>
        <v>Litre</v>
      </c>
      <c r="F493" s="92">
        <f>VLOOKUP(B493,Produits!A:G,7,FALSE)</f>
        <v>4.49</v>
      </c>
      <c r="G493" s="95">
        <f t="shared" si="52"/>
        <v>8.9800000000000005E-2</v>
      </c>
    </row>
    <row r="494" spans="1:7" ht="17" x14ac:dyDescent="0.2">
      <c r="A494" s="28"/>
      <c r="B494" s="90" t="s">
        <v>86</v>
      </c>
      <c r="C494" s="90"/>
      <c r="D494" s="103"/>
      <c r="E494" s="94"/>
      <c r="F494" s="94"/>
      <c r="G494" s="95">
        <f>SUM(G490:G493)</f>
        <v>0.6863541666666666</v>
      </c>
    </row>
    <row r="495" spans="1:7" x14ac:dyDescent="0.2">
      <c r="A495" s="28"/>
      <c r="B495" s="89" t="s">
        <v>138</v>
      </c>
      <c r="C495" s="89"/>
      <c r="D495" s="6">
        <v>1</v>
      </c>
      <c r="E495" s="28"/>
      <c r="F495" s="28"/>
      <c r="G495" s="28"/>
    </row>
    <row r="496" spans="1:7" s="15" customFormat="1" x14ac:dyDescent="0.2">
      <c r="A496" s="28"/>
      <c r="B496" s="89" t="s">
        <v>129</v>
      </c>
      <c r="C496" s="89"/>
      <c r="D496" s="104">
        <f>G494/D495</f>
        <v>0.6863541666666666</v>
      </c>
      <c r="E496" s="28"/>
      <c r="F496" s="28"/>
      <c r="G496" s="28"/>
    </row>
    <row r="498" spans="1:7" s="19" customFormat="1" x14ac:dyDescent="0.2">
      <c r="A498" s="27" t="s">
        <v>156</v>
      </c>
      <c r="B498" s="27" t="s">
        <v>145</v>
      </c>
      <c r="C498" s="27"/>
      <c r="D498" s="28"/>
      <c r="E498" s="27"/>
      <c r="F498" s="29"/>
      <c r="G498" s="29"/>
    </row>
    <row r="499" spans="1:7" ht="17" x14ac:dyDescent="0.2">
      <c r="A499" s="28"/>
      <c r="B499" s="28"/>
      <c r="C499" s="28"/>
      <c r="D499" s="87" t="s">
        <v>82</v>
      </c>
      <c r="E499" s="87" t="s">
        <v>83</v>
      </c>
      <c r="F499" s="87" t="s">
        <v>84</v>
      </c>
      <c r="G499" s="87" t="s">
        <v>85</v>
      </c>
    </row>
    <row r="500" spans="1:7" x14ac:dyDescent="0.2">
      <c r="A500" s="28"/>
      <c r="B500" s="2" t="s">
        <v>355</v>
      </c>
      <c r="C500" s="2"/>
      <c r="D500" s="6">
        <v>1</v>
      </c>
      <c r="E500" s="3" t="str">
        <f>VLOOKUP(B500,Produits!A:G,3,FALSE)</f>
        <v>Pièce</v>
      </c>
      <c r="F500" s="92">
        <f>VLOOKUP(B500,Produits!A:G,7,FALSE)</f>
        <v>0.35655416666666662</v>
      </c>
      <c r="G500" s="95">
        <f>F500*D500</f>
        <v>0.35655416666666662</v>
      </c>
    </row>
    <row r="501" spans="1:7" x14ac:dyDescent="0.2">
      <c r="A501" s="28"/>
      <c r="B501" s="2" t="s">
        <v>169</v>
      </c>
      <c r="C501" s="2"/>
      <c r="D501" s="6">
        <v>1</v>
      </c>
      <c r="E501" s="3" t="str">
        <f>VLOOKUP(B501,Produits!A:G,3,FALSE)</f>
        <v>Pièce</v>
      </c>
      <c r="F501" s="92">
        <f>VLOOKUP(B501,Produits!A:G,7,FALSE)</f>
        <v>0.16216</v>
      </c>
      <c r="G501" s="95">
        <f t="shared" ref="G501:G502" si="53">F501*D501</f>
        <v>0.16216</v>
      </c>
    </row>
    <row r="502" spans="1:7" x14ac:dyDescent="0.2">
      <c r="A502" s="28"/>
      <c r="B502" s="2" t="s">
        <v>53</v>
      </c>
      <c r="C502" s="2"/>
      <c r="D502" s="6">
        <v>0.02</v>
      </c>
      <c r="E502" s="3" t="str">
        <f>VLOOKUP(B502,Produits!A:G,3,FALSE)</f>
        <v>Litre</v>
      </c>
      <c r="F502" s="92">
        <f>VLOOKUP(B502,Produits!A:G,7,FALSE)</f>
        <v>22.76</v>
      </c>
      <c r="G502" s="95">
        <f t="shared" si="53"/>
        <v>0.45520000000000005</v>
      </c>
    </row>
    <row r="503" spans="1:7" ht="17" x14ac:dyDescent="0.2">
      <c r="A503" s="28"/>
      <c r="B503" s="90" t="s">
        <v>86</v>
      </c>
      <c r="C503" s="90"/>
      <c r="D503" s="103"/>
      <c r="E503" s="94"/>
      <c r="F503" s="94"/>
      <c r="G503" s="95">
        <f>SUM(G499:G502)</f>
        <v>0.97391416666666664</v>
      </c>
    </row>
    <row r="504" spans="1:7" x14ac:dyDescent="0.2">
      <c r="A504" s="28"/>
      <c r="B504" s="89" t="s">
        <v>138</v>
      </c>
      <c r="C504" s="89"/>
      <c r="D504" s="6">
        <v>1</v>
      </c>
      <c r="E504" s="28"/>
      <c r="F504" s="28"/>
      <c r="G504" s="28"/>
    </row>
    <row r="505" spans="1:7" s="15" customFormat="1" x14ac:dyDescent="0.2">
      <c r="A505" s="28"/>
      <c r="B505" s="89" t="s">
        <v>129</v>
      </c>
      <c r="C505" s="89"/>
      <c r="D505" s="104">
        <f>G503/D504</f>
        <v>0.97391416666666664</v>
      </c>
      <c r="E505" s="28"/>
      <c r="F505" s="28"/>
      <c r="G505" s="28"/>
    </row>
    <row r="507" spans="1:7" s="19" customFormat="1" x14ac:dyDescent="0.2">
      <c r="A507" s="27" t="s">
        <v>156</v>
      </c>
      <c r="B507" s="27" t="s">
        <v>146</v>
      </c>
      <c r="C507" s="27"/>
      <c r="D507" s="28"/>
      <c r="E507" s="27"/>
      <c r="F507" s="29"/>
      <c r="G507" s="29"/>
    </row>
    <row r="508" spans="1:7" ht="17" x14ac:dyDescent="0.2">
      <c r="A508" s="28"/>
      <c r="B508" s="28"/>
      <c r="C508" s="28"/>
      <c r="D508" s="87" t="s">
        <v>82</v>
      </c>
      <c r="E508" s="87" t="s">
        <v>83</v>
      </c>
      <c r="F508" s="87" t="s">
        <v>84</v>
      </c>
      <c r="G508" s="87" t="s">
        <v>85</v>
      </c>
    </row>
    <row r="509" spans="1:7" x14ac:dyDescent="0.2">
      <c r="A509" s="28"/>
      <c r="B509" s="2" t="s">
        <v>355</v>
      </c>
      <c r="C509" s="2"/>
      <c r="D509" s="6">
        <v>1</v>
      </c>
      <c r="E509" s="3" t="str">
        <f>VLOOKUP(B509,Produits!A:G,3,FALSE)</f>
        <v>Pièce</v>
      </c>
      <c r="F509" s="92">
        <f>VLOOKUP(B509,Produits!A:G,7,FALSE)</f>
        <v>0.35655416666666662</v>
      </c>
      <c r="G509" s="95">
        <f>F509*D509</f>
        <v>0.35655416666666662</v>
      </c>
    </row>
    <row r="510" spans="1:7" x14ac:dyDescent="0.2">
      <c r="A510" s="28"/>
      <c r="B510" s="2" t="s">
        <v>54</v>
      </c>
      <c r="C510" s="2"/>
      <c r="D510" s="6">
        <v>0.3</v>
      </c>
      <c r="E510" s="3" t="str">
        <f>VLOOKUP(B510,Produits!A:G,3,FALSE)</f>
        <v>Pièce</v>
      </c>
      <c r="F510" s="92">
        <f>VLOOKUP(B510,Produits!A:G,7,FALSE)</f>
        <v>0.9</v>
      </c>
      <c r="G510" s="95">
        <f t="shared" ref="G510:G512" si="54">F510*D510</f>
        <v>0.27</v>
      </c>
    </row>
    <row r="511" spans="1:7" x14ac:dyDescent="0.2">
      <c r="A511" s="28"/>
      <c r="B511" s="2" t="s">
        <v>55</v>
      </c>
      <c r="C511" s="2"/>
      <c r="D511" s="6">
        <v>0.3</v>
      </c>
      <c r="E511" s="3" t="str">
        <f>VLOOKUP(B511,Produits!A:G,3,FALSE)</f>
        <v>Pièce</v>
      </c>
      <c r="F511" s="92">
        <f>VLOOKUP(B511,Produits!A:G,7,FALSE)</f>
        <v>0.69666666666666666</v>
      </c>
      <c r="G511" s="95">
        <f t="shared" ref="G511" si="55">F511*D511</f>
        <v>0.20899999999999999</v>
      </c>
    </row>
    <row r="512" spans="1:7" x14ac:dyDescent="0.2">
      <c r="A512" s="28"/>
      <c r="B512" s="2" t="s">
        <v>106</v>
      </c>
      <c r="C512" s="2"/>
      <c r="D512" s="6">
        <v>0.02</v>
      </c>
      <c r="E512" s="3" t="str">
        <f>VLOOKUP(B512,Produits!A:G,3,FALSE)</f>
        <v>Litre</v>
      </c>
      <c r="F512" s="92">
        <f>VLOOKUP(B512,Produits!A:G,7,FALSE)</f>
        <v>4.49</v>
      </c>
      <c r="G512" s="95">
        <f t="shared" si="54"/>
        <v>8.9800000000000005E-2</v>
      </c>
    </row>
    <row r="513" spans="1:7" ht="17" x14ac:dyDescent="0.2">
      <c r="A513" s="28"/>
      <c r="B513" s="90" t="s">
        <v>86</v>
      </c>
      <c r="C513" s="90"/>
      <c r="D513" s="103"/>
      <c r="E513" s="94"/>
      <c r="F513" s="94"/>
      <c r="G513" s="95">
        <f>SUM(G508:G512)</f>
        <v>0.92535416666666659</v>
      </c>
    </row>
    <row r="514" spans="1:7" x14ac:dyDescent="0.2">
      <c r="A514" s="28"/>
      <c r="B514" s="89" t="s">
        <v>138</v>
      </c>
      <c r="C514" s="89"/>
      <c r="D514" s="6">
        <v>1</v>
      </c>
      <c r="E514" s="28"/>
      <c r="F514" s="28"/>
      <c r="G514" s="28"/>
    </row>
    <row r="515" spans="1:7" s="15" customFormat="1" x14ac:dyDescent="0.2">
      <c r="A515" s="28"/>
      <c r="B515" s="89" t="s">
        <v>129</v>
      </c>
      <c r="C515" s="89"/>
      <c r="D515" s="104">
        <f>G513/D514</f>
        <v>0.92535416666666659</v>
      </c>
      <c r="E515" s="28"/>
      <c r="F515" s="28"/>
      <c r="G515" s="28"/>
    </row>
    <row r="517" spans="1:7" s="19" customFormat="1" x14ac:dyDescent="0.2">
      <c r="A517" s="27" t="s">
        <v>156</v>
      </c>
      <c r="B517" s="27" t="s">
        <v>147</v>
      </c>
      <c r="C517" s="27"/>
      <c r="D517" s="28"/>
      <c r="E517" s="27"/>
      <c r="F517" s="29"/>
      <c r="G517" s="29"/>
    </row>
    <row r="518" spans="1:7" ht="17" x14ac:dyDescent="0.2">
      <c r="A518" s="28"/>
      <c r="B518" s="28"/>
      <c r="C518" s="28"/>
      <c r="D518" s="87" t="s">
        <v>82</v>
      </c>
      <c r="E518" s="87" t="s">
        <v>83</v>
      </c>
      <c r="F518" s="87" t="s">
        <v>84</v>
      </c>
      <c r="G518" s="87" t="s">
        <v>85</v>
      </c>
    </row>
    <row r="519" spans="1:7" x14ac:dyDescent="0.2">
      <c r="A519" s="28"/>
      <c r="B519" s="2" t="s">
        <v>355</v>
      </c>
      <c r="C519" s="2"/>
      <c r="D519" s="6">
        <v>1</v>
      </c>
      <c r="E519" s="3" t="str">
        <f>VLOOKUP(B519,Produits!A:G,3,FALSE)</f>
        <v>Pièce</v>
      </c>
      <c r="F519" s="92">
        <f>VLOOKUP(B519,Produits!A:G,7,FALSE)</f>
        <v>0.35655416666666662</v>
      </c>
      <c r="G519" s="95">
        <f>F519*D519</f>
        <v>0.35655416666666662</v>
      </c>
    </row>
    <row r="520" spans="1:7" x14ac:dyDescent="0.2">
      <c r="A520" s="28"/>
      <c r="B520" s="2" t="s">
        <v>68</v>
      </c>
      <c r="C520" s="2"/>
      <c r="D520" s="6">
        <v>0.02</v>
      </c>
      <c r="E520" s="3" t="str">
        <f>VLOOKUP(B520,Produits!A:G,3,FALSE)</f>
        <v>Litre</v>
      </c>
      <c r="F520" s="92">
        <f>VLOOKUP(B520,Produits!A:G,7,FALSE)</f>
        <v>33.414285714285718</v>
      </c>
      <c r="G520" s="95">
        <f t="shared" ref="G520:G522" si="56">F520*D520</f>
        <v>0.66828571428571437</v>
      </c>
    </row>
    <row r="521" spans="1:7" x14ac:dyDescent="0.2">
      <c r="A521" s="28"/>
      <c r="B521" s="2" t="s">
        <v>65</v>
      </c>
      <c r="C521" s="2"/>
      <c r="D521" s="6">
        <v>0.02</v>
      </c>
      <c r="E521" s="3" t="str">
        <f>VLOOKUP(B521,Produits!A:G,3,FALSE)</f>
        <v>Kilogramme</v>
      </c>
      <c r="F521" s="92">
        <f>VLOOKUP(B521,Produits!A:G,7,FALSE)</f>
        <v>1.85</v>
      </c>
      <c r="G521" s="95">
        <f t="shared" ref="G521" si="57">F521*D521</f>
        <v>3.7000000000000005E-2</v>
      </c>
    </row>
    <row r="522" spans="1:7" x14ac:dyDescent="0.2">
      <c r="A522" s="28"/>
      <c r="B522" s="2" t="s">
        <v>15</v>
      </c>
      <c r="C522" s="2"/>
      <c r="D522" s="6">
        <v>0.02</v>
      </c>
      <c r="E522" s="3" t="str">
        <f>VLOOKUP(B522,Produits!A:G,3,FALSE)</f>
        <v>Kilogramme</v>
      </c>
      <c r="F522" s="92">
        <f>VLOOKUP(B522,Produits!A:G,7,FALSE)</f>
        <v>9.58</v>
      </c>
      <c r="G522" s="95">
        <f t="shared" si="56"/>
        <v>0.19159999999999999</v>
      </c>
    </row>
    <row r="523" spans="1:7" ht="17" x14ac:dyDescent="0.2">
      <c r="A523" s="28"/>
      <c r="B523" s="90" t="s">
        <v>86</v>
      </c>
      <c r="C523" s="90"/>
      <c r="D523" s="103"/>
      <c r="E523" s="94"/>
      <c r="F523" s="94"/>
      <c r="G523" s="95">
        <f>SUM(G518:G522)</f>
        <v>1.2534398809523808</v>
      </c>
    </row>
    <row r="524" spans="1:7" x14ac:dyDescent="0.2">
      <c r="A524" s="28"/>
      <c r="B524" s="89" t="s">
        <v>138</v>
      </c>
      <c r="C524" s="89"/>
      <c r="D524" s="6">
        <v>1</v>
      </c>
      <c r="E524" s="28"/>
      <c r="F524" s="28"/>
      <c r="G524" s="28"/>
    </row>
    <row r="525" spans="1:7" s="15" customFormat="1" x14ac:dyDescent="0.2">
      <c r="A525" s="28"/>
      <c r="B525" s="89" t="s">
        <v>129</v>
      </c>
      <c r="C525" s="89"/>
      <c r="D525" s="104">
        <f>G523/D524</f>
        <v>1.2534398809523808</v>
      </c>
      <c r="E525" s="28"/>
      <c r="F525" s="28"/>
      <c r="G525" s="28"/>
    </row>
    <row r="527" spans="1:7" s="19" customFormat="1" x14ac:dyDescent="0.2">
      <c r="A527" s="27" t="s">
        <v>156</v>
      </c>
      <c r="B527" s="27" t="s">
        <v>148</v>
      </c>
      <c r="C527" s="27"/>
      <c r="D527" s="28"/>
      <c r="E527" s="27"/>
      <c r="F527" s="29"/>
      <c r="G527" s="29"/>
    </row>
    <row r="528" spans="1:7" ht="17" x14ac:dyDescent="0.2">
      <c r="A528" s="28"/>
      <c r="B528" s="28"/>
      <c r="C528" s="28"/>
      <c r="D528" s="87" t="s">
        <v>82</v>
      </c>
      <c r="E528" s="87" t="s">
        <v>83</v>
      </c>
      <c r="F528" s="87" t="s">
        <v>84</v>
      </c>
      <c r="G528" s="87" t="s">
        <v>85</v>
      </c>
    </row>
    <row r="529" spans="1:7" x14ac:dyDescent="0.2">
      <c r="A529" s="28"/>
      <c r="B529" s="2" t="s">
        <v>355</v>
      </c>
      <c r="C529" s="2"/>
      <c r="D529" s="6">
        <v>1</v>
      </c>
      <c r="E529" s="3" t="str">
        <f>VLOOKUP(B529,Produits!A:G,3,FALSE)</f>
        <v>Pièce</v>
      </c>
      <c r="F529" s="92">
        <f>VLOOKUP(B529,Produits!A:G,7,FALSE)</f>
        <v>0.35655416666666662</v>
      </c>
      <c r="G529" s="95">
        <f>F529*D529</f>
        <v>0.35655416666666662</v>
      </c>
    </row>
    <row r="530" spans="1:7" x14ac:dyDescent="0.2">
      <c r="A530" s="28"/>
      <c r="B530" s="2" t="s">
        <v>68</v>
      </c>
      <c r="C530" s="2"/>
      <c r="D530" s="6">
        <v>0.02</v>
      </c>
      <c r="E530" s="3" t="str">
        <f>VLOOKUP(B530,Produits!A:G,3,FALSE)</f>
        <v>Litre</v>
      </c>
      <c r="F530" s="92">
        <f>VLOOKUP(B530,Produits!A:G,7,FALSE)</f>
        <v>33.414285714285718</v>
      </c>
      <c r="G530" s="95">
        <f t="shared" ref="G530:G532" si="58">F530*D530</f>
        <v>0.66828571428571437</v>
      </c>
    </row>
    <row r="531" spans="1:7" x14ac:dyDescent="0.2">
      <c r="A531" s="28"/>
      <c r="B531" s="2" t="s">
        <v>65</v>
      </c>
      <c r="C531" s="2"/>
      <c r="D531" s="6">
        <v>0.02</v>
      </c>
      <c r="E531" s="3" t="str">
        <f>VLOOKUP(B531,Produits!A:G,3,FALSE)</f>
        <v>Kilogramme</v>
      </c>
      <c r="F531" s="92">
        <f>VLOOKUP(B531,Produits!A:G,7,FALSE)</f>
        <v>1.85</v>
      </c>
      <c r="G531" s="95">
        <f t="shared" si="58"/>
        <v>3.7000000000000005E-2</v>
      </c>
    </row>
    <row r="532" spans="1:7" x14ac:dyDescent="0.2">
      <c r="A532" s="28"/>
      <c r="B532" s="2" t="s">
        <v>15</v>
      </c>
      <c r="C532" s="2"/>
      <c r="D532" s="6">
        <v>0.02</v>
      </c>
      <c r="E532" s="3" t="str">
        <f>VLOOKUP(B532,Produits!A:G,3,FALSE)</f>
        <v>Kilogramme</v>
      </c>
      <c r="F532" s="92">
        <f>VLOOKUP(B532,Produits!A:G,7,FALSE)</f>
        <v>9.58</v>
      </c>
      <c r="G532" s="95">
        <f t="shared" si="58"/>
        <v>0.19159999999999999</v>
      </c>
    </row>
    <row r="533" spans="1:7" ht="17" x14ac:dyDescent="0.2">
      <c r="A533" s="28"/>
      <c r="B533" s="90" t="s">
        <v>86</v>
      </c>
      <c r="C533" s="90"/>
      <c r="D533" s="103"/>
      <c r="E533" s="94"/>
      <c r="F533" s="94"/>
      <c r="G533" s="95">
        <f>SUM(G528:G532)</f>
        <v>1.2534398809523808</v>
      </c>
    </row>
    <row r="534" spans="1:7" x14ac:dyDescent="0.2">
      <c r="A534" s="28"/>
      <c r="B534" s="89" t="s">
        <v>138</v>
      </c>
      <c r="C534" s="89"/>
      <c r="D534" s="6">
        <v>1</v>
      </c>
      <c r="E534" s="28"/>
      <c r="F534" s="28"/>
      <c r="G534" s="28"/>
    </row>
    <row r="535" spans="1:7" s="15" customFormat="1" x14ac:dyDescent="0.2">
      <c r="A535" s="28"/>
      <c r="B535" s="89" t="s">
        <v>129</v>
      </c>
      <c r="C535" s="89"/>
      <c r="D535" s="104">
        <f>G533/D534</f>
        <v>1.2534398809523808</v>
      </c>
      <c r="E535" s="28"/>
      <c r="F535" s="28"/>
      <c r="G535" s="28"/>
    </row>
    <row r="537" spans="1:7" s="19" customFormat="1" x14ac:dyDescent="0.2">
      <c r="A537" s="24" t="s">
        <v>153</v>
      </c>
      <c r="B537" s="24" t="s">
        <v>149</v>
      </c>
      <c r="C537" s="24"/>
      <c r="D537" s="25"/>
      <c r="E537" s="24"/>
      <c r="F537" s="26"/>
      <c r="G537" s="26"/>
    </row>
    <row r="538" spans="1:7" ht="17" x14ac:dyDescent="0.2">
      <c r="A538" s="26"/>
      <c r="B538" s="26"/>
      <c r="C538" s="26"/>
      <c r="D538" s="87" t="s">
        <v>82</v>
      </c>
      <c r="E538" s="87" t="s">
        <v>83</v>
      </c>
      <c r="F538" s="87" t="s">
        <v>84</v>
      </c>
      <c r="G538" s="87" t="s">
        <v>85</v>
      </c>
    </row>
    <row r="539" spans="1:7" x14ac:dyDescent="0.2">
      <c r="A539" s="26"/>
      <c r="B539" s="2" t="s">
        <v>69</v>
      </c>
      <c r="C539" s="2"/>
      <c r="D539" s="6">
        <v>1.4999999999999999E-2</v>
      </c>
      <c r="E539" s="3" t="str">
        <f>VLOOKUP(B539,Produits!A:G,3,FALSE)</f>
        <v>Litre</v>
      </c>
      <c r="F539" s="92">
        <f>VLOOKUP(B539,Produits!A:G,7,FALSE)</f>
        <v>41.9</v>
      </c>
      <c r="G539" s="95">
        <f>F539*D539</f>
        <v>0.62849999999999995</v>
      </c>
    </row>
    <row r="540" spans="1:7" ht="17" x14ac:dyDescent="0.2">
      <c r="A540" s="26"/>
      <c r="B540" s="90" t="s">
        <v>86</v>
      </c>
      <c r="C540" s="90"/>
      <c r="D540" s="103"/>
      <c r="E540" s="94"/>
      <c r="F540" s="94"/>
      <c r="G540" s="95">
        <f>SUM(G538:G539)</f>
        <v>0.62849999999999995</v>
      </c>
    </row>
    <row r="541" spans="1:7" x14ac:dyDescent="0.2">
      <c r="A541" s="26"/>
      <c r="B541" s="89" t="s">
        <v>138</v>
      </c>
      <c r="C541" s="89"/>
      <c r="D541" s="6">
        <v>1</v>
      </c>
      <c r="E541" s="26"/>
      <c r="F541" s="26"/>
      <c r="G541" s="26"/>
    </row>
    <row r="542" spans="1:7" s="15" customFormat="1" x14ac:dyDescent="0.2">
      <c r="A542" s="26"/>
      <c r="B542" s="89" t="s">
        <v>129</v>
      </c>
      <c r="C542" s="89"/>
      <c r="D542" s="104">
        <f>G540/D541</f>
        <v>0.62849999999999995</v>
      </c>
      <c r="E542" s="26"/>
      <c r="F542" s="26"/>
      <c r="G542" s="26"/>
    </row>
    <row r="544" spans="1:7" s="19" customFormat="1" x14ac:dyDescent="0.2">
      <c r="A544" s="24" t="s">
        <v>153</v>
      </c>
      <c r="B544" s="24" t="s">
        <v>150</v>
      </c>
      <c r="C544" s="24"/>
      <c r="D544" s="25"/>
      <c r="E544" s="24"/>
      <c r="F544" s="26"/>
      <c r="G544" s="26"/>
    </row>
    <row r="545" spans="1:13" ht="17" x14ac:dyDescent="0.2">
      <c r="A545" s="26"/>
      <c r="B545" s="26"/>
      <c r="C545" s="26"/>
      <c r="D545" s="87" t="s">
        <v>82</v>
      </c>
      <c r="E545" s="87" t="s">
        <v>83</v>
      </c>
      <c r="F545" s="87" t="s">
        <v>84</v>
      </c>
      <c r="G545" s="87" t="s">
        <v>85</v>
      </c>
    </row>
    <row r="546" spans="1:13" x14ac:dyDescent="0.2">
      <c r="A546" s="26"/>
      <c r="B546" s="2" t="s">
        <v>70</v>
      </c>
      <c r="C546" s="2"/>
      <c r="D546" s="6">
        <v>0.02</v>
      </c>
      <c r="E546" s="3" t="str">
        <f>VLOOKUP(B546,Produits!A:G,3,FALSE)</f>
        <v>Kilogramme</v>
      </c>
      <c r="F546" s="92">
        <f>VLOOKUP(B546,Produits!A:G,7,FALSE)</f>
        <v>15.666666666666666</v>
      </c>
      <c r="G546" s="95">
        <f>F546*D546</f>
        <v>0.31333333333333335</v>
      </c>
    </row>
    <row r="547" spans="1:13" ht="17" x14ac:dyDescent="0.2">
      <c r="A547" s="26"/>
      <c r="B547" s="90" t="s">
        <v>86</v>
      </c>
      <c r="C547" s="90"/>
      <c r="D547" s="103"/>
      <c r="E547" s="94"/>
      <c r="F547" s="94"/>
      <c r="G547" s="95">
        <f>SUM(G545:G546)</f>
        <v>0.31333333333333335</v>
      </c>
    </row>
    <row r="548" spans="1:13" x14ac:dyDescent="0.2">
      <c r="A548" s="26"/>
      <c r="B548" s="89" t="s">
        <v>138</v>
      </c>
      <c r="C548" s="89"/>
      <c r="D548" s="6">
        <v>1</v>
      </c>
      <c r="E548" s="26"/>
      <c r="F548" s="26"/>
      <c r="G548" s="26"/>
    </row>
    <row r="549" spans="1:13" s="15" customFormat="1" x14ac:dyDescent="0.2">
      <c r="A549" s="26"/>
      <c r="B549" s="89" t="s">
        <v>129</v>
      </c>
      <c r="C549" s="89"/>
      <c r="D549" s="104">
        <f>G547/D548</f>
        <v>0.31333333333333335</v>
      </c>
      <c r="E549" s="26"/>
      <c r="F549" s="26"/>
      <c r="G549" s="26"/>
    </row>
    <row r="551" spans="1:13" s="19" customFormat="1" x14ac:dyDescent="0.2">
      <c r="A551" s="24" t="s">
        <v>153</v>
      </c>
      <c r="B551" s="24" t="s">
        <v>151</v>
      </c>
      <c r="C551" s="24"/>
      <c r="D551" s="25"/>
      <c r="E551" s="24"/>
      <c r="F551" s="26"/>
      <c r="G551" s="26"/>
    </row>
    <row r="552" spans="1:13" ht="17" x14ac:dyDescent="0.2">
      <c r="A552" s="26"/>
      <c r="B552" s="26"/>
      <c r="C552" s="26"/>
      <c r="D552" s="87" t="s">
        <v>82</v>
      </c>
      <c r="E552" s="87" t="s">
        <v>83</v>
      </c>
      <c r="F552" s="87" t="s">
        <v>84</v>
      </c>
      <c r="G552" s="87" t="s">
        <v>85</v>
      </c>
    </row>
    <row r="553" spans="1:13" x14ac:dyDescent="0.2">
      <c r="A553" s="26"/>
      <c r="B553" s="2" t="s">
        <v>49</v>
      </c>
      <c r="C553" s="2"/>
      <c r="D553" s="6">
        <v>0.01</v>
      </c>
      <c r="E553" s="3" t="str">
        <f>VLOOKUP(B553,Produits!A:G,3,FALSE)</f>
        <v>Kilogramme</v>
      </c>
      <c r="F553" s="92">
        <f>VLOOKUP(B553,Produits!A:G,7,FALSE)</f>
        <v>9.234</v>
      </c>
      <c r="G553" s="95">
        <f>F553*D553</f>
        <v>9.2340000000000005E-2</v>
      </c>
    </row>
    <row r="554" spans="1:13" x14ac:dyDescent="0.2">
      <c r="A554" s="26"/>
      <c r="B554" s="2" t="s">
        <v>8</v>
      </c>
      <c r="C554" s="2"/>
      <c r="D554" s="6">
        <v>0.02</v>
      </c>
      <c r="E554" s="3" t="str">
        <f>VLOOKUP(B554,Produits!A:G,3,FALSE)</f>
        <v>Litre</v>
      </c>
      <c r="F554" s="92">
        <f>VLOOKUP(B554,Produits!A:G,7,FALSE)</f>
        <v>1.46</v>
      </c>
      <c r="G554" s="95">
        <f t="shared" ref="G554" si="59">F554*D554</f>
        <v>2.92E-2</v>
      </c>
    </row>
    <row r="555" spans="1:13" ht="17" x14ac:dyDescent="0.2">
      <c r="A555" s="26"/>
      <c r="B555" s="90" t="s">
        <v>86</v>
      </c>
      <c r="C555" s="90"/>
      <c r="D555" s="103"/>
      <c r="E555" s="94"/>
      <c r="F555" s="94"/>
      <c r="G555" s="95">
        <f>SUM(G552:G554)</f>
        <v>0.12154000000000001</v>
      </c>
    </row>
    <row r="556" spans="1:13" x14ac:dyDescent="0.2">
      <c r="A556" s="26"/>
      <c r="B556" s="89" t="s">
        <v>138</v>
      </c>
      <c r="C556" s="89"/>
      <c r="D556" s="104">
        <v>1</v>
      </c>
      <c r="E556" s="26"/>
      <c r="F556" s="26"/>
      <c r="G556" s="26"/>
    </row>
    <row r="557" spans="1:13" s="15" customFormat="1" x14ac:dyDescent="0.2">
      <c r="A557" s="26"/>
      <c r="B557" s="89" t="s">
        <v>129</v>
      </c>
      <c r="C557" s="89"/>
      <c r="D557" s="104">
        <f>G555/D556</f>
        <v>0.12154000000000001</v>
      </c>
      <c r="E557" s="26"/>
      <c r="F557" s="26"/>
      <c r="G557" s="26"/>
    </row>
    <row r="559" spans="1:13" s="19" customFormat="1" x14ac:dyDescent="0.2">
      <c r="A559" s="24" t="s">
        <v>153</v>
      </c>
      <c r="B559" s="24" t="s">
        <v>56</v>
      </c>
      <c r="C559" s="24"/>
      <c r="D559" s="25"/>
      <c r="E559" s="24"/>
      <c r="F559" s="26"/>
      <c r="G559" s="26"/>
      <c r="M559" s="15"/>
    </row>
    <row r="560" spans="1:13" ht="17" x14ac:dyDescent="0.2">
      <c r="A560" s="26"/>
      <c r="B560" s="26"/>
      <c r="C560" s="26"/>
      <c r="D560" s="87" t="s">
        <v>82</v>
      </c>
      <c r="E560" s="87" t="s">
        <v>83</v>
      </c>
      <c r="F560" s="87" t="s">
        <v>84</v>
      </c>
      <c r="G560" s="87" t="s">
        <v>85</v>
      </c>
    </row>
    <row r="561" spans="1:7" x14ac:dyDescent="0.2">
      <c r="A561" s="26"/>
      <c r="B561" s="2" t="s">
        <v>75</v>
      </c>
      <c r="C561" s="2"/>
      <c r="D561" s="6">
        <v>1</v>
      </c>
      <c r="E561" s="3" t="str">
        <f>VLOOKUP(B561,Produits!A:G,3,FALSE)</f>
        <v>Pièce</v>
      </c>
      <c r="F561" s="92">
        <f>VLOOKUP(B561,Produits!A:G,7,FALSE)</f>
        <v>9.4E-2</v>
      </c>
      <c r="G561" s="95">
        <f>F561*D561</f>
        <v>9.4E-2</v>
      </c>
    </row>
    <row r="562" spans="1:7" x14ac:dyDescent="0.2">
      <c r="A562" s="26"/>
      <c r="B562" s="2" t="s">
        <v>74</v>
      </c>
      <c r="C562" s="2"/>
      <c r="D562" s="6">
        <v>1</v>
      </c>
      <c r="E562" s="3" t="str">
        <f>VLOOKUP(B562,Produits!A:G,3,FALSE)</f>
        <v>Pièce</v>
      </c>
      <c r="F562" s="92">
        <f>VLOOKUP(B562,Produits!A:G,7,FALSE)</f>
        <v>0.13750000000000001</v>
      </c>
      <c r="G562" s="95">
        <f t="shared" ref="G562:G565" si="60">F562*D562</f>
        <v>0.13750000000000001</v>
      </c>
    </row>
    <row r="563" spans="1:7" x14ac:dyDescent="0.2">
      <c r="A563" s="26"/>
      <c r="B563" s="2" t="s">
        <v>76</v>
      </c>
      <c r="C563" s="2"/>
      <c r="D563" s="6">
        <v>1</v>
      </c>
      <c r="E563" s="3" t="str">
        <f>VLOOKUP(B563,Produits!A:G,3,FALSE)</f>
        <v>Pièce</v>
      </c>
      <c r="F563" s="92">
        <f>VLOOKUP(B563,Produits!A:G,7,FALSE)</f>
        <v>4.8437500000000001E-2</v>
      </c>
      <c r="G563" s="95">
        <f t="shared" ref="G563:G564" si="61">F563*D563</f>
        <v>4.8437500000000001E-2</v>
      </c>
    </row>
    <row r="564" spans="1:7" x14ac:dyDescent="0.2">
      <c r="A564" s="26"/>
      <c r="B564" s="2" t="s">
        <v>77</v>
      </c>
      <c r="C564" s="2"/>
      <c r="D564" s="6">
        <v>1</v>
      </c>
      <c r="E564" s="3" t="str">
        <f>VLOOKUP(B564,Produits!A:G,3,FALSE)</f>
        <v>Pièce</v>
      </c>
      <c r="F564" s="92">
        <f>VLOOKUP(B564,Produits!A:G,7,FALSE)</f>
        <v>9.2499999999999999E-2</v>
      </c>
      <c r="G564" s="95">
        <f t="shared" si="61"/>
        <v>9.2499999999999999E-2</v>
      </c>
    </row>
    <row r="565" spans="1:7" x14ac:dyDescent="0.2">
      <c r="A565" s="26"/>
      <c r="B565" s="2" t="s">
        <v>73</v>
      </c>
      <c r="C565" s="2"/>
      <c r="D565" s="6">
        <v>1</v>
      </c>
      <c r="E565" s="3" t="str">
        <f>VLOOKUP(B565,Produits!A:G,3,FALSE)</f>
        <v>Pièce</v>
      </c>
      <c r="F565" s="92">
        <f>VLOOKUP(B565,Produits!A:G,7,FALSE)</f>
        <v>0.13750000000000001</v>
      </c>
      <c r="G565" s="95">
        <f t="shared" si="60"/>
        <v>0.13750000000000001</v>
      </c>
    </row>
    <row r="566" spans="1:7" ht="17" x14ac:dyDescent="0.2">
      <c r="A566" s="26"/>
      <c r="B566" s="90" t="s">
        <v>86</v>
      </c>
      <c r="C566" s="90"/>
      <c r="D566" s="103"/>
      <c r="E566" s="94"/>
      <c r="F566" s="94"/>
      <c r="G566" s="95">
        <f>SUM(G560:G565)</f>
        <v>0.50993749999999993</v>
      </c>
    </row>
    <row r="567" spans="1:7" x14ac:dyDescent="0.2">
      <c r="A567" s="26"/>
      <c r="B567" s="89" t="s">
        <v>138</v>
      </c>
      <c r="C567" s="89"/>
      <c r="D567" s="6">
        <v>5</v>
      </c>
      <c r="E567" s="26"/>
      <c r="F567" s="26"/>
      <c r="G567" s="26"/>
    </row>
    <row r="568" spans="1:7" s="15" customFormat="1" x14ac:dyDescent="0.2">
      <c r="A568" s="26"/>
      <c r="B568" s="89" t="s">
        <v>129</v>
      </c>
      <c r="C568" s="89"/>
      <c r="D568" s="104">
        <f>G566/D567</f>
        <v>0.10198749999999998</v>
      </c>
      <c r="E568" s="26"/>
      <c r="F568" s="26"/>
      <c r="G568" s="26"/>
    </row>
    <row r="570" spans="1:7" s="19" customFormat="1" x14ac:dyDescent="0.2">
      <c r="A570" s="24" t="s">
        <v>153</v>
      </c>
      <c r="B570" s="24" t="s">
        <v>152</v>
      </c>
      <c r="C570" s="24"/>
      <c r="D570" s="25"/>
      <c r="E570" s="24"/>
      <c r="F570" s="26"/>
      <c r="G570" s="26"/>
    </row>
    <row r="571" spans="1:7" ht="17" x14ac:dyDescent="0.2">
      <c r="A571" s="26"/>
      <c r="B571" s="26"/>
      <c r="C571" s="26"/>
      <c r="D571" s="87" t="s">
        <v>82</v>
      </c>
      <c r="E571" s="87" t="s">
        <v>83</v>
      </c>
      <c r="F571" s="87" t="s">
        <v>84</v>
      </c>
      <c r="G571" s="87" t="s">
        <v>85</v>
      </c>
    </row>
    <row r="572" spans="1:7" x14ac:dyDescent="0.2">
      <c r="A572" s="26"/>
      <c r="B572" s="2" t="s">
        <v>57</v>
      </c>
      <c r="C572" s="2"/>
      <c r="D572" s="6">
        <v>0.02</v>
      </c>
      <c r="E572" s="3" t="str">
        <f>VLOOKUP(B572,Produits!A:G,3,FALSE)</f>
        <v>Litre</v>
      </c>
      <c r="F572" s="92">
        <f>VLOOKUP(B572,Produits!A:G,7,FALSE)</f>
        <v>12.733333333333334</v>
      </c>
      <c r="G572" s="95">
        <f>F572*D572</f>
        <v>0.25466666666666671</v>
      </c>
    </row>
    <row r="573" spans="1:7" ht="17" x14ac:dyDescent="0.2">
      <c r="A573" s="26"/>
      <c r="B573" s="90" t="s">
        <v>86</v>
      </c>
      <c r="C573" s="90"/>
      <c r="D573" s="103"/>
      <c r="E573" s="94"/>
      <c r="F573" s="94"/>
      <c r="G573" s="95">
        <f>SUM(G571:G572)</f>
        <v>0.25466666666666671</v>
      </c>
    </row>
    <row r="574" spans="1:7" x14ac:dyDescent="0.2">
      <c r="A574" s="26"/>
      <c r="B574" s="89" t="s">
        <v>138</v>
      </c>
      <c r="C574" s="89"/>
      <c r="D574" s="6">
        <v>1</v>
      </c>
      <c r="E574" s="26"/>
      <c r="F574" s="26"/>
      <c r="G574" s="26"/>
    </row>
    <row r="575" spans="1:7" s="15" customFormat="1" x14ac:dyDescent="0.2">
      <c r="A575" s="26"/>
      <c r="B575" s="89" t="s">
        <v>129</v>
      </c>
      <c r="C575" s="89"/>
      <c r="D575" s="104">
        <f>G573/D574</f>
        <v>0.25466666666666671</v>
      </c>
      <c r="E575" s="26"/>
      <c r="F575" s="26"/>
      <c r="G575" s="26"/>
    </row>
    <row r="580" spans="1:1" x14ac:dyDescent="0.2">
      <c r="A580" s="15"/>
    </row>
    <row r="581" spans="1:1" x14ac:dyDescent="0.2">
      <c r="A581" s="15"/>
    </row>
    <row r="582" spans="1:1" x14ac:dyDescent="0.2">
      <c r="A582" s="15"/>
    </row>
    <row r="583" spans="1:1" x14ac:dyDescent="0.2">
      <c r="A583" s="15"/>
    </row>
    <row r="584" spans="1:1" x14ac:dyDescent="0.2">
      <c r="A584" s="15"/>
    </row>
    <row r="585" spans="1:1" x14ac:dyDescent="0.2">
      <c r="A585" s="15"/>
    </row>
    <row r="586" spans="1:1" x14ac:dyDescent="0.2">
      <c r="A586" s="15"/>
    </row>
    <row r="587" spans="1:1" x14ac:dyDescent="0.2">
      <c r="A587" s="15"/>
    </row>
    <row r="588" spans="1:1" x14ac:dyDescent="0.2">
      <c r="A588" s="15"/>
    </row>
    <row r="589" spans="1:1" x14ac:dyDescent="0.2">
      <c r="A589" s="15"/>
    </row>
    <row r="590" spans="1:1" x14ac:dyDescent="0.2">
      <c r="A590" s="15"/>
    </row>
    <row r="591" spans="1:1" x14ac:dyDescent="0.2">
      <c r="A591" s="15"/>
    </row>
    <row r="592" spans="1:1" x14ac:dyDescent="0.2">
      <c r="A592" s="15"/>
    </row>
    <row r="593" spans="1:1" x14ac:dyDescent="0.2">
      <c r="A593" s="15"/>
    </row>
    <row r="594" spans="1:1" x14ac:dyDescent="0.2">
      <c r="A594" s="15"/>
    </row>
    <row r="595" spans="1:1" x14ac:dyDescent="0.2">
      <c r="A595" s="15"/>
    </row>
    <row r="596" spans="1:1" x14ac:dyDescent="0.2">
      <c r="A596" s="15"/>
    </row>
    <row r="597" spans="1:1" x14ac:dyDescent="0.2">
      <c r="A597" s="15"/>
    </row>
    <row r="598" spans="1:1" x14ac:dyDescent="0.2">
      <c r="A598" s="15"/>
    </row>
    <row r="599" spans="1:1" x14ac:dyDescent="0.2">
      <c r="A599" s="15"/>
    </row>
    <row r="600" spans="1:1" x14ac:dyDescent="0.2">
      <c r="A600" s="15"/>
    </row>
    <row r="601" spans="1:1" x14ac:dyDescent="0.2">
      <c r="A601" s="15"/>
    </row>
    <row r="602" spans="1:1" x14ac:dyDescent="0.2">
      <c r="A602" s="15"/>
    </row>
    <row r="603" spans="1:1" x14ac:dyDescent="0.2">
      <c r="A603" s="15"/>
    </row>
    <row r="604" spans="1:1" x14ac:dyDescent="0.2">
      <c r="A604" s="15"/>
    </row>
    <row r="605" spans="1:1" x14ac:dyDescent="0.2">
      <c r="A605" s="15"/>
    </row>
    <row r="606" spans="1:1" x14ac:dyDescent="0.2">
      <c r="A606" s="15"/>
    </row>
    <row r="607" spans="1:1" x14ac:dyDescent="0.2">
      <c r="A607" s="15"/>
    </row>
    <row r="608" spans="1:1" x14ac:dyDescent="0.2">
      <c r="A608" s="15"/>
    </row>
    <row r="609" spans="1:1" x14ac:dyDescent="0.2">
      <c r="A609" s="15"/>
    </row>
    <row r="610" spans="1:1" x14ac:dyDescent="0.2">
      <c r="A610" s="15"/>
    </row>
    <row r="611" spans="1:1" x14ac:dyDescent="0.2">
      <c r="A611" s="15"/>
    </row>
    <row r="612" spans="1:1" x14ac:dyDescent="0.2">
      <c r="A612" s="15"/>
    </row>
    <row r="613" spans="1:1" x14ac:dyDescent="0.2">
      <c r="A613" s="15"/>
    </row>
    <row r="614" spans="1:1" x14ac:dyDescent="0.2">
      <c r="A614" s="15"/>
    </row>
    <row r="615" spans="1:1" x14ac:dyDescent="0.2">
      <c r="A615" s="15"/>
    </row>
    <row r="616" spans="1:1" x14ac:dyDescent="0.2">
      <c r="A616" s="15"/>
    </row>
    <row r="617" spans="1:1" x14ac:dyDescent="0.2">
      <c r="A617" s="15"/>
    </row>
    <row r="618" spans="1:1" x14ac:dyDescent="0.2">
      <c r="A618" s="15"/>
    </row>
    <row r="619" spans="1:1" x14ac:dyDescent="0.2">
      <c r="A619" s="15"/>
    </row>
    <row r="620" spans="1:1" x14ac:dyDescent="0.2">
      <c r="A620" s="15"/>
    </row>
    <row r="621" spans="1:1" x14ac:dyDescent="0.2">
      <c r="A621" s="15"/>
    </row>
    <row r="622" spans="1:1" x14ac:dyDescent="0.2">
      <c r="A622" s="15"/>
    </row>
    <row r="623" spans="1:1" x14ac:dyDescent="0.2">
      <c r="A623" s="15"/>
    </row>
    <row r="624" spans="1:1" x14ac:dyDescent="0.2">
      <c r="A624" s="15"/>
    </row>
    <row r="625" spans="1:1" x14ac:dyDescent="0.2">
      <c r="A625" s="15"/>
    </row>
    <row r="626" spans="1:1" x14ac:dyDescent="0.2">
      <c r="A626" s="15"/>
    </row>
    <row r="627" spans="1:1" x14ac:dyDescent="0.2">
      <c r="A627" s="15"/>
    </row>
    <row r="628" spans="1:1" x14ac:dyDescent="0.2">
      <c r="A628" s="15"/>
    </row>
    <row r="629" spans="1:1" x14ac:dyDescent="0.2">
      <c r="A629" s="15"/>
    </row>
    <row r="630" spans="1:1" x14ac:dyDescent="0.2">
      <c r="A630" s="15"/>
    </row>
    <row r="631" spans="1:1" x14ac:dyDescent="0.2">
      <c r="A631" s="15"/>
    </row>
    <row r="632" spans="1:1" x14ac:dyDescent="0.2">
      <c r="A632" s="15"/>
    </row>
    <row r="633" spans="1:1" x14ac:dyDescent="0.2">
      <c r="A633" s="15"/>
    </row>
    <row r="634" spans="1:1" x14ac:dyDescent="0.2">
      <c r="A634" s="15"/>
    </row>
    <row r="635" spans="1:1" x14ac:dyDescent="0.2">
      <c r="A635" s="15"/>
    </row>
    <row r="636" spans="1:1" x14ac:dyDescent="0.2">
      <c r="A636" s="15"/>
    </row>
    <row r="637" spans="1:1" x14ac:dyDescent="0.2">
      <c r="A637" s="15"/>
    </row>
    <row r="638" spans="1:1" x14ac:dyDescent="0.2">
      <c r="A638" s="15"/>
    </row>
    <row r="639" spans="1:1" x14ac:dyDescent="0.2">
      <c r="A639" s="15"/>
    </row>
    <row r="640" spans="1:1" x14ac:dyDescent="0.2">
      <c r="A640" s="15"/>
    </row>
    <row r="641" spans="1:1" x14ac:dyDescent="0.2">
      <c r="A641" s="15"/>
    </row>
    <row r="642" spans="1:1" x14ac:dyDescent="0.2">
      <c r="A642" s="15"/>
    </row>
    <row r="643" spans="1:1" x14ac:dyDescent="0.2">
      <c r="A643" s="15"/>
    </row>
    <row r="644" spans="1:1" x14ac:dyDescent="0.2">
      <c r="A644" s="15"/>
    </row>
    <row r="645" spans="1:1" x14ac:dyDescent="0.2">
      <c r="A645" s="15"/>
    </row>
    <row r="646" spans="1:1" x14ac:dyDescent="0.2">
      <c r="A646" s="15"/>
    </row>
    <row r="647" spans="1:1" x14ac:dyDescent="0.2">
      <c r="A647" s="15"/>
    </row>
    <row r="648" spans="1:1" x14ac:dyDescent="0.2">
      <c r="A648" s="15"/>
    </row>
    <row r="649" spans="1:1" x14ac:dyDescent="0.2">
      <c r="A649" s="15"/>
    </row>
    <row r="650" spans="1:1" x14ac:dyDescent="0.2">
      <c r="A650" s="15"/>
    </row>
    <row r="651" spans="1:1" x14ac:dyDescent="0.2">
      <c r="A651" s="15"/>
    </row>
    <row r="652" spans="1:1" x14ac:dyDescent="0.2">
      <c r="A652" s="15"/>
    </row>
    <row r="653" spans="1:1" x14ac:dyDescent="0.2">
      <c r="A653" s="15"/>
    </row>
    <row r="654" spans="1:1" x14ac:dyDescent="0.2">
      <c r="A654" s="15"/>
    </row>
    <row r="655" spans="1:1" x14ac:dyDescent="0.2">
      <c r="A655" s="15"/>
    </row>
    <row r="656" spans="1:1" x14ac:dyDescent="0.2">
      <c r="A656" s="15"/>
    </row>
    <row r="657" spans="1:1" x14ac:dyDescent="0.2">
      <c r="A657" s="15"/>
    </row>
    <row r="658" spans="1:1" x14ac:dyDescent="0.2">
      <c r="A658" s="15"/>
    </row>
    <row r="659" spans="1:1" x14ac:dyDescent="0.2">
      <c r="A659" s="15"/>
    </row>
    <row r="660" spans="1:1" x14ac:dyDescent="0.2">
      <c r="A660" s="15"/>
    </row>
    <row r="661" spans="1:1" x14ac:dyDescent="0.2">
      <c r="A661" s="15"/>
    </row>
    <row r="662" spans="1:1" x14ac:dyDescent="0.2">
      <c r="A662" s="15"/>
    </row>
  </sheetData>
  <dataValidations count="2">
    <dataValidation type="list" allowBlank="1" showInputMessage="1" showErrorMessage="1" sqref="B3:C3 B10:C10 B282:C282 B31:C31 B24:C27 B133:C137 B21:C21 B141:C141 B144:C148 B163:C163 B166:C170 B174:C174 B155:C159 B177:C180 B184:C184 B210:C213 B207:C207 B187:C195 B199:C199 B202:C203 B217:C217 B220:C223 B227:C227 B230:C237 B250:C250 B253:C255 B241:C241 B244:C246 B259:C259 B262:C263 B267:C267 B270:C271 B323:C323 B285:C287 B291:C291 B294:C294 B305:C305 B308:C308 B312:C312 B315:C316 B320:C320 B275:C275 B278:C278 B572:C572 B509:C512 B569:C570 B553:C554 B558:C559 B546:C546 B550:C551 B539:C539 B543:C544 B500:C502 B482:C484 B526:C527 B491:C493 B516:C517 B473:C475 B506:C507 B463:C466 B497:C498 B424:C427 B536:C537 B415:C417 B450:C451 B373:C376 B327:C328 B356:C358 B383:C385 B561:C565 B401:C408 B347:C349 B338:C340 B519:C522 B335:C336 B330:C331 B434:C437 B444:C446 B453:C456 B421:C422 B392:C394 B344:C344 B353:C354 B362:C362 B370:C371 B380:C380 B389:C390 B398:C398 B412:C413 B431:C431 B441:C442 B460:C460 B470:C471 B479:C479 B488:C489 B529:C532 B365:C366 B298:C298 B301:C301 B576:C1048576 B5:C6 B13:C17 B34:C37 B41:C41 B44:C47 B81:C81 B84:C84 B88:C88 B91:C94 B98:C98 B101:C101 B105:C105 B108:C108 B112:C112 B121:C130 B115:C117 B51:C51 B54:C57 B71:C71 B74:C77 B61:C61 B64:C67" xr:uid="{FB8D5052-68EF-5A4B-9C81-FCE8503CF9E9}">
      <formula1>TProduits</formula1>
    </dataValidation>
    <dataValidation type="list" allowBlank="1" showInputMessage="1" showErrorMessage="1" sqref="A3 A11 A122 A142 A22 A164 A131 A185 A153 A200 A228 A175 A208 A321 A242 A218 A260 A313 A268 A276 A292 A283 A306 A251 A570 A559 A551 A544 A527 A517 A507 A498 A442 A451 A336 A413 A390 A371 A354 A328 A537 A489 A471 A422 A345 A363 A381 A399 A432 A461 A480 A299 A32 A42 A82 A89 A99 A106 A113 A52 A72 A62" xr:uid="{54D47170-03B3-2E49-9A4A-562C9DD53E64}">
      <formula1>TTypesRecettes</formula1>
    </dataValidation>
  </dataValidations>
  <pageMargins left="0.7" right="0.7" top="0.75" bottom="0.75" header="0.3" footer="0.3"/>
  <pageSetup paperSize="9" orientation="portrait" horizontalDpi="0" verticalDpi="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2BFB0-4BC6-4341-A36B-73DA205B7058}">
  <sheetPr codeName="Feuil5"/>
  <dimension ref="A1:D38"/>
  <sheetViews>
    <sheetView workbookViewId="0">
      <pane ySplit="1" topLeftCell="A2" activePane="bottomLeft" state="frozen"/>
      <selection activeCell="E53" sqref="E53"/>
      <selection pane="bottomLeft" activeCell="A2" sqref="A2:B38"/>
    </sheetView>
  </sheetViews>
  <sheetFormatPr baseColWidth="10" defaultRowHeight="16" x14ac:dyDescent="0.2"/>
  <cols>
    <col min="1" max="1" width="25.83203125" bestFit="1" customWidth="1"/>
    <col min="2" max="2" width="32.83203125" bestFit="1" customWidth="1"/>
    <col min="3" max="3" width="7.5" style="11" bestFit="1" customWidth="1"/>
    <col min="4" max="4" width="96.5" bestFit="1" customWidth="1"/>
  </cols>
  <sheetData>
    <row r="1" spans="1:4" ht="60" customHeight="1" x14ac:dyDescent="0.2">
      <c r="A1" s="20" t="s">
        <v>113</v>
      </c>
      <c r="B1" s="20"/>
      <c r="C1" s="20" t="s">
        <v>129</v>
      </c>
      <c r="D1" s="125" t="s">
        <v>356</v>
      </c>
    </row>
    <row r="2" spans="1:4" x14ac:dyDescent="0.2">
      <c r="A2" s="2" t="s">
        <v>118</v>
      </c>
      <c r="B2" s="2" t="s">
        <v>116</v>
      </c>
      <c r="C2" s="6">
        <v>0.82299999999999995</v>
      </c>
      <c r="D2" s="2"/>
    </row>
    <row r="3" spans="1:4" x14ac:dyDescent="0.2">
      <c r="A3" s="2" t="s">
        <v>118</v>
      </c>
      <c r="B3" s="2" t="s">
        <v>120</v>
      </c>
      <c r="C3" s="6">
        <v>1.0149999999999999</v>
      </c>
      <c r="D3" s="2"/>
    </row>
    <row r="4" spans="1:4" x14ac:dyDescent="0.2">
      <c r="A4" s="2" t="s">
        <v>118</v>
      </c>
      <c r="B4" s="2" t="s">
        <v>126</v>
      </c>
      <c r="C4" s="6">
        <v>0.53300000000000003</v>
      </c>
      <c r="D4" s="2"/>
    </row>
    <row r="5" spans="1:4" x14ac:dyDescent="0.2">
      <c r="A5" s="2" t="s">
        <v>131</v>
      </c>
      <c r="B5" s="2" t="s">
        <v>125</v>
      </c>
      <c r="C5" s="6">
        <v>6.3E-2</v>
      </c>
      <c r="D5" s="2"/>
    </row>
    <row r="6" spans="1:4" x14ac:dyDescent="0.2">
      <c r="A6" s="2" t="s">
        <v>131</v>
      </c>
      <c r="B6" s="2" t="s">
        <v>122</v>
      </c>
      <c r="C6" s="6">
        <v>6.3E-2</v>
      </c>
      <c r="D6" s="2"/>
    </row>
    <row r="7" spans="1:4" x14ac:dyDescent="0.2">
      <c r="A7" s="2" t="s">
        <v>131</v>
      </c>
      <c r="B7" s="2" t="s">
        <v>380</v>
      </c>
      <c r="C7" s="6">
        <v>0.23300000000000001</v>
      </c>
      <c r="D7" s="2"/>
    </row>
    <row r="8" spans="1:4" x14ac:dyDescent="0.2">
      <c r="A8" s="2" t="s">
        <v>131</v>
      </c>
      <c r="B8" s="2" t="s">
        <v>121</v>
      </c>
      <c r="C8" s="6">
        <v>0.747</v>
      </c>
      <c r="D8" s="2"/>
    </row>
    <row r="9" spans="1:4" x14ac:dyDescent="0.2">
      <c r="A9" s="2" t="s">
        <v>131</v>
      </c>
      <c r="B9" s="2" t="s">
        <v>123</v>
      </c>
      <c r="C9" s="6">
        <v>0.29199999999999998</v>
      </c>
      <c r="D9" s="2" t="s">
        <v>398</v>
      </c>
    </row>
    <row r="10" spans="1:4" x14ac:dyDescent="0.2">
      <c r="A10" s="2" t="s">
        <v>131</v>
      </c>
      <c r="B10" s="2" t="s">
        <v>124</v>
      </c>
      <c r="C10" s="6">
        <v>0.44400000000000001</v>
      </c>
      <c r="D10" s="2" t="s">
        <v>398</v>
      </c>
    </row>
    <row r="11" spans="1:4" x14ac:dyDescent="0.2">
      <c r="A11" s="2" t="s">
        <v>155</v>
      </c>
      <c r="B11" s="2" t="s">
        <v>142</v>
      </c>
      <c r="C11" s="6">
        <v>0.55100000000000005</v>
      </c>
      <c r="D11" s="2" t="s">
        <v>394</v>
      </c>
    </row>
    <row r="12" spans="1:4" x14ac:dyDescent="0.2">
      <c r="A12" s="2" t="s">
        <v>155</v>
      </c>
      <c r="B12" s="2" t="s">
        <v>143</v>
      </c>
      <c r="C12" s="6">
        <v>0.624</v>
      </c>
      <c r="D12" s="2" t="s">
        <v>399</v>
      </c>
    </row>
    <row r="13" spans="1:4" x14ac:dyDescent="0.2">
      <c r="A13" s="2" t="s">
        <v>155</v>
      </c>
      <c r="B13" s="2" t="s">
        <v>141</v>
      </c>
      <c r="C13" s="6">
        <v>0.39900000000000002</v>
      </c>
      <c r="D13" s="2" t="s">
        <v>394</v>
      </c>
    </row>
    <row r="14" spans="1:4" x14ac:dyDescent="0.2">
      <c r="A14" s="2" t="s">
        <v>156</v>
      </c>
      <c r="B14" s="2" t="s">
        <v>145</v>
      </c>
      <c r="C14" s="6">
        <v>0.81499999999999995</v>
      </c>
      <c r="D14" s="2" t="s">
        <v>393</v>
      </c>
    </row>
    <row r="15" spans="1:4" x14ac:dyDescent="0.2">
      <c r="A15" s="2" t="s">
        <v>156</v>
      </c>
      <c r="B15" s="2" t="s">
        <v>146</v>
      </c>
      <c r="C15" s="6">
        <v>0.76600000000000001</v>
      </c>
      <c r="D15" s="2" t="s">
        <v>393</v>
      </c>
    </row>
    <row r="16" spans="1:4" x14ac:dyDescent="0.2">
      <c r="A16" s="2" t="s">
        <v>156</v>
      </c>
      <c r="B16" s="2" t="s">
        <v>147</v>
      </c>
      <c r="C16" s="6">
        <v>1.0940000000000001</v>
      </c>
      <c r="D16" s="2" t="s">
        <v>393</v>
      </c>
    </row>
    <row r="17" spans="1:4" x14ac:dyDescent="0.2">
      <c r="A17" s="2" t="s">
        <v>156</v>
      </c>
      <c r="B17" s="2" t="s">
        <v>148</v>
      </c>
      <c r="C17" s="6">
        <v>1.0940000000000001</v>
      </c>
      <c r="D17" s="2" t="s">
        <v>393</v>
      </c>
    </row>
    <row r="18" spans="1:4" x14ac:dyDescent="0.2">
      <c r="A18" s="2" t="s">
        <v>156</v>
      </c>
      <c r="B18" s="2" t="s">
        <v>144</v>
      </c>
      <c r="C18" s="6">
        <v>0.52700000000000002</v>
      </c>
      <c r="D18" s="2" t="s">
        <v>393</v>
      </c>
    </row>
    <row r="19" spans="1:4" x14ac:dyDescent="0.2">
      <c r="A19" s="2" t="s">
        <v>154</v>
      </c>
      <c r="B19" s="2" t="s">
        <v>158</v>
      </c>
      <c r="C19" s="6">
        <v>0.42599999999999999</v>
      </c>
      <c r="D19" s="2" t="s">
        <v>393</v>
      </c>
    </row>
    <row r="20" spans="1:4" x14ac:dyDescent="0.2">
      <c r="A20" s="2" t="s">
        <v>154</v>
      </c>
      <c r="B20" s="2" t="s">
        <v>157</v>
      </c>
      <c r="C20" s="6">
        <v>0.38900000000000001</v>
      </c>
      <c r="D20" s="2" t="s">
        <v>393</v>
      </c>
    </row>
    <row r="21" spans="1:4" x14ac:dyDescent="0.2">
      <c r="A21" s="2" t="s">
        <v>154</v>
      </c>
      <c r="B21" s="2" t="s">
        <v>160</v>
      </c>
      <c r="C21" s="6">
        <v>0.63400000000000001</v>
      </c>
      <c r="D21" s="2" t="s">
        <v>399</v>
      </c>
    </row>
    <row r="22" spans="1:4" x14ac:dyDescent="0.2">
      <c r="A22" s="2" t="s">
        <v>154</v>
      </c>
      <c r="B22" s="2" t="s">
        <v>159</v>
      </c>
      <c r="C22" s="6">
        <v>0.37</v>
      </c>
      <c r="D22" s="2" t="s">
        <v>393</v>
      </c>
    </row>
    <row r="23" spans="1:4" x14ac:dyDescent="0.2">
      <c r="A23" s="2" t="s">
        <v>154</v>
      </c>
      <c r="B23" s="2" t="s">
        <v>161</v>
      </c>
      <c r="C23" s="6">
        <v>0.37</v>
      </c>
      <c r="D23" s="2" t="s">
        <v>393</v>
      </c>
    </row>
    <row r="24" spans="1:4" x14ac:dyDescent="0.2">
      <c r="A24" s="2" t="s">
        <v>154</v>
      </c>
      <c r="B24" s="2" t="s">
        <v>401</v>
      </c>
      <c r="C24" s="6">
        <v>0.442</v>
      </c>
      <c r="D24" s="2" t="s">
        <v>393</v>
      </c>
    </row>
    <row r="25" spans="1:4" x14ac:dyDescent="0.2">
      <c r="A25" s="2" t="s">
        <v>154</v>
      </c>
      <c r="B25" s="2" t="s">
        <v>140</v>
      </c>
      <c r="C25" s="6">
        <v>0.63</v>
      </c>
      <c r="D25" s="2" t="s">
        <v>394</v>
      </c>
    </row>
    <row r="26" spans="1:4" x14ac:dyDescent="0.2">
      <c r="A26" s="2" t="s">
        <v>114</v>
      </c>
      <c r="B26" s="2" t="s">
        <v>95</v>
      </c>
      <c r="C26" s="6">
        <v>2.9889999999999999</v>
      </c>
      <c r="D26" s="2" t="s">
        <v>395</v>
      </c>
    </row>
    <row r="27" spans="1:4" x14ac:dyDescent="0.2">
      <c r="A27" s="2" t="s">
        <v>114</v>
      </c>
      <c r="B27" s="2" t="s">
        <v>91</v>
      </c>
      <c r="C27" s="6">
        <v>0.97799999999999998</v>
      </c>
      <c r="D27" s="2" t="s">
        <v>394</v>
      </c>
    </row>
    <row r="28" spans="1:4" x14ac:dyDescent="0.2">
      <c r="A28" s="2" t="s">
        <v>114</v>
      </c>
      <c r="B28" s="2" t="s">
        <v>108</v>
      </c>
      <c r="C28" s="6">
        <v>0.79500000000000004</v>
      </c>
      <c r="D28" s="2" t="s">
        <v>393</v>
      </c>
    </row>
    <row r="29" spans="1:4" x14ac:dyDescent="0.2">
      <c r="A29" s="2" t="s">
        <v>114</v>
      </c>
      <c r="B29" s="2" t="s">
        <v>87</v>
      </c>
      <c r="C29" s="6">
        <v>0.27600000000000002</v>
      </c>
      <c r="D29" s="2" t="s">
        <v>393</v>
      </c>
    </row>
    <row r="30" spans="1:4" x14ac:dyDescent="0.2">
      <c r="A30" s="2" t="s">
        <v>114</v>
      </c>
      <c r="B30" s="2" t="s">
        <v>107</v>
      </c>
      <c r="C30" s="6">
        <v>1.73</v>
      </c>
      <c r="D30" s="2" t="s">
        <v>397</v>
      </c>
    </row>
    <row r="31" spans="1:4" x14ac:dyDescent="0.2">
      <c r="A31" s="2" t="s">
        <v>114</v>
      </c>
      <c r="B31" s="2" t="s">
        <v>92</v>
      </c>
      <c r="C31" s="6">
        <v>4.1120000000000001</v>
      </c>
      <c r="D31" s="2" t="s">
        <v>393</v>
      </c>
    </row>
    <row r="32" spans="1:4" x14ac:dyDescent="0.2">
      <c r="A32" s="2" t="s">
        <v>114</v>
      </c>
      <c r="B32" s="2" t="s">
        <v>94</v>
      </c>
      <c r="C32" s="6">
        <v>1.0269999999999999</v>
      </c>
      <c r="D32" s="2" t="s">
        <v>394</v>
      </c>
    </row>
    <row r="33" spans="1:4" x14ac:dyDescent="0.2">
      <c r="A33" s="2" t="s">
        <v>114</v>
      </c>
      <c r="B33" s="2" t="s">
        <v>99</v>
      </c>
      <c r="C33" s="6">
        <v>1.982</v>
      </c>
      <c r="D33" s="2" t="s">
        <v>396</v>
      </c>
    </row>
    <row r="34" spans="1:4" x14ac:dyDescent="0.2">
      <c r="A34" s="2" t="s">
        <v>153</v>
      </c>
      <c r="B34" s="2" t="s">
        <v>150</v>
      </c>
      <c r="C34" s="6">
        <v>0.313</v>
      </c>
      <c r="D34" s="2"/>
    </row>
    <row r="35" spans="1:4" x14ac:dyDescent="0.2">
      <c r="A35" s="2" t="s">
        <v>153</v>
      </c>
      <c r="B35" s="2" t="s">
        <v>151</v>
      </c>
      <c r="C35" s="6">
        <v>0.122</v>
      </c>
      <c r="D35" s="2" t="s">
        <v>400</v>
      </c>
    </row>
    <row r="36" spans="1:4" x14ac:dyDescent="0.2">
      <c r="A36" s="2" t="s">
        <v>153</v>
      </c>
      <c r="B36" s="2" t="s">
        <v>149</v>
      </c>
      <c r="C36" s="6">
        <v>0.629</v>
      </c>
      <c r="D36" s="2"/>
    </row>
    <row r="37" spans="1:4" x14ac:dyDescent="0.2">
      <c r="A37" s="2" t="s">
        <v>153</v>
      </c>
      <c r="B37" s="2" t="s">
        <v>56</v>
      </c>
      <c r="C37" s="6">
        <v>0.10199999999999999</v>
      </c>
      <c r="D37" s="2"/>
    </row>
    <row r="38" spans="1:4" x14ac:dyDescent="0.2">
      <c r="A38" s="2" t="s">
        <v>153</v>
      </c>
      <c r="B38" s="2" t="s">
        <v>152</v>
      </c>
      <c r="C38" s="6">
        <v>0.255</v>
      </c>
      <c r="D38" s="2"/>
    </row>
  </sheetData>
  <sortState xmlns:xlrd2="http://schemas.microsoft.com/office/spreadsheetml/2017/richdata2" ref="A2:D37">
    <sortCondition ref="A2:A37"/>
    <sortCondition ref="B2:B37"/>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CR_Raffraichir">
                <anchor moveWithCells="1" sizeWithCells="1">
                  <from>
                    <xdr:col>4</xdr:col>
                    <xdr:colOff>50800</xdr:colOff>
                    <xdr:row>0</xdr:row>
                    <xdr:rowOff>63500</xdr:rowOff>
                  </from>
                  <to>
                    <xdr:col>4</xdr:col>
                    <xdr:colOff>774700</xdr:colOff>
                    <xdr:row>0</xdr:row>
                    <xdr:rowOff>419100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E4AC8-7254-1E44-ADF0-E4599C61F8E0}">
  <sheetPr codeName="Feuil6"/>
  <dimension ref="A1:J38"/>
  <sheetViews>
    <sheetView workbookViewId="0">
      <selection activeCell="A2" sqref="A2:C38"/>
    </sheetView>
  </sheetViews>
  <sheetFormatPr baseColWidth="10" defaultRowHeight="16" x14ac:dyDescent="0.2"/>
  <cols>
    <col min="1" max="1" width="36.1640625" bestFit="1" customWidth="1"/>
    <col min="2" max="2" width="38.5" customWidth="1"/>
    <col min="3" max="3" width="12.1640625" style="9" bestFit="1" customWidth="1"/>
    <col min="4" max="5" width="10.83203125" style="9"/>
    <col min="6" max="6" width="20.33203125" style="9" customWidth="1"/>
    <col min="7" max="7" width="6" style="9" customWidth="1"/>
    <col min="8" max="8" width="21.33203125" customWidth="1"/>
    <col min="9" max="9" width="17.5" customWidth="1"/>
  </cols>
  <sheetData>
    <row r="1" spans="1:10" ht="52" thickBot="1" x14ac:dyDescent="0.25">
      <c r="A1" s="20" t="s">
        <v>113</v>
      </c>
      <c r="B1" s="20" t="s">
        <v>128</v>
      </c>
      <c r="C1" s="30" t="s">
        <v>129</v>
      </c>
      <c r="D1" s="30" t="s">
        <v>132</v>
      </c>
      <c r="E1" s="30" t="s">
        <v>133</v>
      </c>
      <c r="F1" s="30" t="s">
        <v>135</v>
      </c>
      <c r="G1" s="111"/>
      <c r="I1" s="109" t="s">
        <v>306</v>
      </c>
      <c r="J1" s="126">
        <v>0.3</v>
      </c>
    </row>
    <row r="2" spans="1:10" x14ac:dyDescent="0.2">
      <c r="A2" s="2" t="s">
        <v>118</v>
      </c>
      <c r="B2" s="2" t="s">
        <v>116</v>
      </c>
      <c r="C2" s="6">
        <v>0.82299999999999995</v>
      </c>
      <c r="D2" s="8">
        <v>0.3</v>
      </c>
      <c r="E2" s="8">
        <f t="shared" ref="E2:E38" si="0">C2*D2</f>
        <v>0.24689999999999998</v>
      </c>
      <c r="F2" s="8">
        <f t="shared" ref="F2:F38" si="1">E2+C2</f>
        <v>1.0698999999999999</v>
      </c>
    </row>
    <row r="3" spans="1:10" x14ac:dyDescent="0.2">
      <c r="A3" s="2" t="s">
        <v>118</v>
      </c>
      <c r="B3" s="2" t="s">
        <v>120</v>
      </c>
      <c r="C3" s="6">
        <v>1.0149999999999999</v>
      </c>
      <c r="D3" s="8">
        <v>0.3</v>
      </c>
      <c r="E3" s="8">
        <f t="shared" si="0"/>
        <v>0.30449999999999994</v>
      </c>
      <c r="F3" s="8">
        <f t="shared" si="1"/>
        <v>1.3194999999999999</v>
      </c>
    </row>
    <row r="4" spans="1:10" x14ac:dyDescent="0.2">
      <c r="A4" s="2" t="s">
        <v>118</v>
      </c>
      <c r="B4" s="2" t="s">
        <v>126</v>
      </c>
      <c r="C4" s="6">
        <v>0.53300000000000003</v>
      </c>
      <c r="D4" s="8">
        <v>0.3</v>
      </c>
      <c r="E4" s="8">
        <f t="shared" si="0"/>
        <v>0.15990000000000001</v>
      </c>
      <c r="F4" s="8">
        <f t="shared" si="1"/>
        <v>0.69290000000000007</v>
      </c>
    </row>
    <row r="5" spans="1:10" x14ac:dyDescent="0.2">
      <c r="A5" s="2" t="s">
        <v>131</v>
      </c>
      <c r="B5" s="2" t="s">
        <v>125</v>
      </c>
      <c r="C5" s="6">
        <v>6.3E-2</v>
      </c>
      <c r="D5" s="8">
        <v>0.3</v>
      </c>
      <c r="E5" s="8">
        <f t="shared" si="0"/>
        <v>1.89E-2</v>
      </c>
      <c r="F5" s="8">
        <f t="shared" si="1"/>
        <v>8.1900000000000001E-2</v>
      </c>
    </row>
    <row r="6" spans="1:10" x14ac:dyDescent="0.2">
      <c r="A6" s="2" t="s">
        <v>131</v>
      </c>
      <c r="B6" s="2" t="s">
        <v>122</v>
      </c>
      <c r="C6" s="6">
        <v>6.3E-2</v>
      </c>
      <c r="D6" s="8">
        <v>0.3</v>
      </c>
      <c r="E6" s="8">
        <f t="shared" si="0"/>
        <v>1.89E-2</v>
      </c>
      <c r="F6" s="8">
        <f t="shared" si="1"/>
        <v>8.1900000000000001E-2</v>
      </c>
    </row>
    <row r="7" spans="1:10" x14ac:dyDescent="0.2">
      <c r="A7" s="2" t="s">
        <v>131</v>
      </c>
      <c r="B7" s="2" t="s">
        <v>380</v>
      </c>
      <c r="C7" s="6">
        <v>0.23300000000000001</v>
      </c>
      <c r="D7" s="8">
        <v>0.3</v>
      </c>
      <c r="E7" s="8">
        <f t="shared" si="0"/>
        <v>6.9900000000000004E-2</v>
      </c>
      <c r="F7" s="8">
        <f t="shared" si="1"/>
        <v>0.3029</v>
      </c>
    </row>
    <row r="8" spans="1:10" x14ac:dyDescent="0.2">
      <c r="A8" s="2" t="s">
        <v>131</v>
      </c>
      <c r="B8" s="2" t="s">
        <v>121</v>
      </c>
      <c r="C8" s="6">
        <v>0.747</v>
      </c>
      <c r="D8" s="8">
        <v>0.3</v>
      </c>
      <c r="E8" s="8">
        <f t="shared" si="0"/>
        <v>0.22409999999999999</v>
      </c>
      <c r="F8" s="8">
        <f t="shared" si="1"/>
        <v>0.97109999999999996</v>
      </c>
    </row>
    <row r="9" spans="1:10" x14ac:dyDescent="0.2">
      <c r="A9" s="2" t="s">
        <v>131</v>
      </c>
      <c r="B9" s="2" t="s">
        <v>123</v>
      </c>
      <c r="C9" s="6">
        <v>0.29199999999999998</v>
      </c>
      <c r="D9" s="8">
        <v>0.3</v>
      </c>
      <c r="E9" s="8">
        <f t="shared" si="0"/>
        <v>8.7599999999999997E-2</v>
      </c>
      <c r="F9" s="8">
        <f t="shared" si="1"/>
        <v>0.37959999999999999</v>
      </c>
    </row>
    <row r="10" spans="1:10" x14ac:dyDescent="0.2">
      <c r="A10" s="2" t="s">
        <v>131</v>
      </c>
      <c r="B10" s="2" t="s">
        <v>124</v>
      </c>
      <c r="C10" s="6">
        <v>0.44400000000000001</v>
      </c>
      <c r="D10" s="8">
        <v>0.3</v>
      </c>
      <c r="E10" s="8">
        <f t="shared" si="0"/>
        <v>0.13319999999999999</v>
      </c>
      <c r="F10" s="8">
        <f t="shared" si="1"/>
        <v>0.57719999999999994</v>
      </c>
    </row>
    <row r="11" spans="1:10" x14ac:dyDescent="0.2">
      <c r="A11" s="2" t="s">
        <v>155</v>
      </c>
      <c r="B11" s="2" t="s">
        <v>142</v>
      </c>
      <c r="C11" s="6">
        <v>0.55100000000000005</v>
      </c>
      <c r="D11" s="8">
        <v>0.3</v>
      </c>
      <c r="E11" s="8">
        <f t="shared" si="0"/>
        <v>0.1653</v>
      </c>
      <c r="F11" s="8">
        <f t="shared" si="1"/>
        <v>0.71630000000000005</v>
      </c>
    </row>
    <row r="12" spans="1:10" x14ac:dyDescent="0.2">
      <c r="A12" s="2" t="s">
        <v>155</v>
      </c>
      <c r="B12" s="2" t="s">
        <v>143</v>
      </c>
      <c r="C12" s="6">
        <v>0.624</v>
      </c>
      <c r="D12" s="8">
        <v>0.3</v>
      </c>
      <c r="E12" s="8">
        <f t="shared" si="0"/>
        <v>0.18720000000000001</v>
      </c>
      <c r="F12" s="8">
        <f t="shared" si="1"/>
        <v>0.81120000000000003</v>
      </c>
    </row>
    <row r="13" spans="1:10" x14ac:dyDescent="0.2">
      <c r="A13" s="2" t="s">
        <v>155</v>
      </c>
      <c r="B13" s="2" t="s">
        <v>141</v>
      </c>
      <c r="C13" s="6">
        <v>0.39900000000000002</v>
      </c>
      <c r="D13" s="8">
        <v>0.3</v>
      </c>
      <c r="E13" s="8">
        <f t="shared" si="0"/>
        <v>0.1197</v>
      </c>
      <c r="F13" s="8">
        <f t="shared" si="1"/>
        <v>0.51870000000000005</v>
      </c>
    </row>
    <row r="14" spans="1:10" x14ac:dyDescent="0.2">
      <c r="A14" s="2" t="s">
        <v>156</v>
      </c>
      <c r="B14" s="2" t="s">
        <v>145</v>
      </c>
      <c r="C14" s="6">
        <v>0.81499999999999995</v>
      </c>
      <c r="D14" s="8">
        <v>0.3</v>
      </c>
      <c r="E14" s="8">
        <f t="shared" si="0"/>
        <v>0.24449999999999997</v>
      </c>
      <c r="F14" s="8">
        <f t="shared" si="1"/>
        <v>1.0594999999999999</v>
      </c>
    </row>
    <row r="15" spans="1:10" x14ac:dyDescent="0.2">
      <c r="A15" s="2" t="s">
        <v>156</v>
      </c>
      <c r="B15" s="2" t="s">
        <v>146</v>
      </c>
      <c r="C15" s="6">
        <v>0.76600000000000001</v>
      </c>
      <c r="D15" s="8">
        <v>0.3</v>
      </c>
      <c r="E15" s="8">
        <f t="shared" si="0"/>
        <v>0.2298</v>
      </c>
      <c r="F15" s="8">
        <f t="shared" si="1"/>
        <v>0.99580000000000002</v>
      </c>
    </row>
    <row r="16" spans="1:10" x14ac:dyDescent="0.2">
      <c r="A16" s="2" t="s">
        <v>156</v>
      </c>
      <c r="B16" s="2" t="s">
        <v>147</v>
      </c>
      <c r="C16" s="6">
        <v>1.0940000000000001</v>
      </c>
      <c r="D16" s="8">
        <v>0.3</v>
      </c>
      <c r="E16" s="8">
        <f t="shared" si="0"/>
        <v>0.32819999999999999</v>
      </c>
      <c r="F16" s="8">
        <f t="shared" si="1"/>
        <v>1.4222000000000001</v>
      </c>
    </row>
    <row r="17" spans="1:6" x14ac:dyDescent="0.2">
      <c r="A17" s="2" t="s">
        <v>156</v>
      </c>
      <c r="B17" s="2" t="s">
        <v>148</v>
      </c>
      <c r="C17" s="6">
        <v>1.0940000000000001</v>
      </c>
      <c r="D17" s="8">
        <v>0.3</v>
      </c>
      <c r="E17" s="8">
        <f t="shared" si="0"/>
        <v>0.32819999999999999</v>
      </c>
      <c r="F17" s="8">
        <f t="shared" si="1"/>
        <v>1.4222000000000001</v>
      </c>
    </row>
    <row r="18" spans="1:6" x14ac:dyDescent="0.2">
      <c r="A18" s="2" t="s">
        <v>156</v>
      </c>
      <c r="B18" s="2" t="s">
        <v>144</v>
      </c>
      <c r="C18" s="6">
        <v>0.52700000000000002</v>
      </c>
      <c r="D18" s="8">
        <v>0.3</v>
      </c>
      <c r="E18" s="8">
        <f t="shared" si="0"/>
        <v>0.15809999999999999</v>
      </c>
      <c r="F18" s="8">
        <f t="shared" si="1"/>
        <v>0.68510000000000004</v>
      </c>
    </row>
    <row r="19" spans="1:6" x14ac:dyDescent="0.2">
      <c r="A19" s="2" t="s">
        <v>154</v>
      </c>
      <c r="B19" s="2" t="s">
        <v>158</v>
      </c>
      <c r="C19" s="6">
        <v>0.42599999999999999</v>
      </c>
      <c r="D19" s="8">
        <v>0.3</v>
      </c>
      <c r="E19" s="8">
        <f t="shared" si="0"/>
        <v>0.1278</v>
      </c>
      <c r="F19" s="8">
        <f t="shared" si="1"/>
        <v>0.55379999999999996</v>
      </c>
    </row>
    <row r="20" spans="1:6" x14ac:dyDescent="0.2">
      <c r="A20" s="2" t="s">
        <v>154</v>
      </c>
      <c r="B20" s="2" t="s">
        <v>157</v>
      </c>
      <c r="C20" s="6">
        <v>0.38900000000000001</v>
      </c>
      <c r="D20" s="8">
        <v>0.3</v>
      </c>
      <c r="E20" s="8">
        <f t="shared" si="0"/>
        <v>0.1167</v>
      </c>
      <c r="F20" s="8">
        <f t="shared" si="1"/>
        <v>0.50570000000000004</v>
      </c>
    </row>
    <row r="21" spans="1:6" x14ac:dyDescent="0.2">
      <c r="A21" s="2" t="s">
        <v>154</v>
      </c>
      <c r="B21" s="2" t="s">
        <v>160</v>
      </c>
      <c r="C21" s="6">
        <v>0.63400000000000001</v>
      </c>
      <c r="D21" s="8">
        <v>0.3</v>
      </c>
      <c r="E21" s="8">
        <f t="shared" si="0"/>
        <v>0.19020000000000001</v>
      </c>
      <c r="F21" s="8">
        <f t="shared" si="1"/>
        <v>0.82420000000000004</v>
      </c>
    </row>
    <row r="22" spans="1:6" x14ac:dyDescent="0.2">
      <c r="A22" s="2" t="s">
        <v>154</v>
      </c>
      <c r="B22" s="2" t="s">
        <v>159</v>
      </c>
      <c r="C22" s="6">
        <v>0.37</v>
      </c>
      <c r="D22" s="8">
        <v>0.3</v>
      </c>
      <c r="E22" s="8">
        <f t="shared" si="0"/>
        <v>0.111</v>
      </c>
      <c r="F22" s="8">
        <f t="shared" si="1"/>
        <v>0.48099999999999998</v>
      </c>
    </row>
    <row r="23" spans="1:6" x14ac:dyDescent="0.2">
      <c r="A23" s="2" t="s">
        <v>154</v>
      </c>
      <c r="B23" s="2" t="s">
        <v>161</v>
      </c>
      <c r="C23" s="6">
        <v>0.37</v>
      </c>
      <c r="D23" s="8">
        <v>0.3</v>
      </c>
      <c r="E23" s="8">
        <f t="shared" si="0"/>
        <v>0.111</v>
      </c>
      <c r="F23" s="8">
        <f t="shared" si="1"/>
        <v>0.48099999999999998</v>
      </c>
    </row>
    <row r="24" spans="1:6" x14ac:dyDescent="0.2">
      <c r="A24" s="2" t="s">
        <v>154</v>
      </c>
      <c r="B24" s="2" t="s">
        <v>401</v>
      </c>
      <c r="C24" s="6">
        <v>0.442</v>
      </c>
      <c r="D24" s="8">
        <v>0.3</v>
      </c>
      <c r="E24" s="8">
        <f t="shared" si="0"/>
        <v>0.1326</v>
      </c>
      <c r="F24" s="8">
        <f t="shared" si="1"/>
        <v>0.5746</v>
      </c>
    </row>
    <row r="25" spans="1:6" x14ac:dyDescent="0.2">
      <c r="A25" s="2" t="s">
        <v>154</v>
      </c>
      <c r="B25" s="2" t="s">
        <v>140</v>
      </c>
      <c r="C25" s="6">
        <v>0.63</v>
      </c>
      <c r="D25" s="8">
        <v>0.3</v>
      </c>
      <c r="E25" s="8">
        <f t="shared" si="0"/>
        <v>0.189</v>
      </c>
      <c r="F25" s="8">
        <f t="shared" si="1"/>
        <v>0.81899999999999995</v>
      </c>
    </row>
    <row r="26" spans="1:6" x14ac:dyDescent="0.2">
      <c r="A26" s="2" t="s">
        <v>114</v>
      </c>
      <c r="B26" s="2" t="s">
        <v>95</v>
      </c>
      <c r="C26" s="6">
        <v>2.9889999999999999</v>
      </c>
      <c r="D26" s="8">
        <v>0.3</v>
      </c>
      <c r="E26" s="8">
        <f t="shared" si="0"/>
        <v>0.89669999999999994</v>
      </c>
      <c r="F26" s="8">
        <f t="shared" si="1"/>
        <v>3.8856999999999999</v>
      </c>
    </row>
    <row r="27" spans="1:6" x14ac:dyDescent="0.2">
      <c r="A27" s="2" t="s">
        <v>114</v>
      </c>
      <c r="B27" s="2" t="s">
        <v>91</v>
      </c>
      <c r="C27" s="6">
        <v>0.97799999999999998</v>
      </c>
      <c r="D27" s="8">
        <v>0.3</v>
      </c>
      <c r="E27" s="8">
        <f t="shared" si="0"/>
        <v>0.29339999999999999</v>
      </c>
      <c r="F27" s="8">
        <f t="shared" si="1"/>
        <v>1.2713999999999999</v>
      </c>
    </row>
    <row r="28" spans="1:6" x14ac:dyDescent="0.2">
      <c r="A28" s="2" t="s">
        <v>114</v>
      </c>
      <c r="B28" s="2" t="s">
        <v>108</v>
      </c>
      <c r="C28" s="6">
        <v>0.79500000000000004</v>
      </c>
      <c r="D28" s="8">
        <v>0.3</v>
      </c>
      <c r="E28" s="8">
        <f t="shared" si="0"/>
        <v>0.23849999999999999</v>
      </c>
      <c r="F28" s="8">
        <f t="shared" si="1"/>
        <v>1.0335000000000001</v>
      </c>
    </row>
    <row r="29" spans="1:6" x14ac:dyDescent="0.2">
      <c r="A29" s="2" t="s">
        <v>114</v>
      </c>
      <c r="B29" s="2" t="s">
        <v>87</v>
      </c>
      <c r="C29" s="6">
        <v>0.27600000000000002</v>
      </c>
      <c r="D29" s="8">
        <v>0.3</v>
      </c>
      <c r="E29" s="8">
        <f t="shared" si="0"/>
        <v>8.2799999999999999E-2</v>
      </c>
      <c r="F29" s="8">
        <f t="shared" si="1"/>
        <v>0.35880000000000001</v>
      </c>
    </row>
    <row r="30" spans="1:6" x14ac:dyDescent="0.2">
      <c r="A30" s="2" t="s">
        <v>114</v>
      </c>
      <c r="B30" s="2" t="s">
        <v>107</v>
      </c>
      <c r="C30" s="6">
        <v>1.73</v>
      </c>
      <c r="D30" s="8">
        <v>0.3</v>
      </c>
      <c r="E30" s="8">
        <f t="shared" si="0"/>
        <v>0.51900000000000002</v>
      </c>
      <c r="F30" s="8">
        <f t="shared" si="1"/>
        <v>2.2490000000000001</v>
      </c>
    </row>
    <row r="31" spans="1:6" x14ac:dyDescent="0.2">
      <c r="A31" s="2" t="s">
        <v>114</v>
      </c>
      <c r="B31" s="2" t="s">
        <v>92</v>
      </c>
      <c r="C31" s="6">
        <v>4.1120000000000001</v>
      </c>
      <c r="D31" s="8">
        <v>0.3</v>
      </c>
      <c r="E31" s="8">
        <f t="shared" si="0"/>
        <v>1.2336</v>
      </c>
      <c r="F31" s="8">
        <f t="shared" si="1"/>
        <v>5.3456000000000001</v>
      </c>
    </row>
    <row r="32" spans="1:6" x14ac:dyDescent="0.2">
      <c r="A32" s="2" t="s">
        <v>114</v>
      </c>
      <c r="B32" s="2" t="s">
        <v>94</v>
      </c>
      <c r="C32" s="6">
        <v>1.0269999999999999</v>
      </c>
      <c r="D32" s="8">
        <v>0.3</v>
      </c>
      <c r="E32" s="8">
        <f t="shared" si="0"/>
        <v>0.30809999999999998</v>
      </c>
      <c r="F32" s="8">
        <f t="shared" si="1"/>
        <v>1.3351</v>
      </c>
    </row>
    <row r="33" spans="1:6" x14ac:dyDescent="0.2">
      <c r="A33" s="2" t="s">
        <v>114</v>
      </c>
      <c r="B33" s="2" t="s">
        <v>99</v>
      </c>
      <c r="C33" s="6">
        <v>1.982</v>
      </c>
      <c r="D33" s="8">
        <v>0.3</v>
      </c>
      <c r="E33" s="8">
        <f t="shared" si="0"/>
        <v>0.59460000000000002</v>
      </c>
      <c r="F33" s="8">
        <f t="shared" si="1"/>
        <v>2.5766</v>
      </c>
    </row>
    <row r="34" spans="1:6" x14ac:dyDescent="0.2">
      <c r="A34" s="2" t="s">
        <v>153</v>
      </c>
      <c r="B34" s="2" t="s">
        <v>150</v>
      </c>
      <c r="C34" s="6">
        <v>0.313</v>
      </c>
      <c r="D34" s="8">
        <v>0.3</v>
      </c>
      <c r="E34" s="8">
        <f t="shared" si="0"/>
        <v>9.3899999999999997E-2</v>
      </c>
      <c r="F34" s="8">
        <f t="shared" si="1"/>
        <v>0.40689999999999998</v>
      </c>
    </row>
    <row r="35" spans="1:6" x14ac:dyDescent="0.2">
      <c r="A35" s="2" t="s">
        <v>153</v>
      </c>
      <c r="B35" s="2" t="s">
        <v>151</v>
      </c>
      <c r="C35" s="6">
        <v>0.122</v>
      </c>
      <c r="D35" s="8">
        <v>0.3</v>
      </c>
      <c r="E35" s="8">
        <f t="shared" si="0"/>
        <v>3.6600000000000001E-2</v>
      </c>
      <c r="F35" s="8">
        <f t="shared" si="1"/>
        <v>0.15859999999999999</v>
      </c>
    </row>
    <row r="36" spans="1:6" x14ac:dyDescent="0.2">
      <c r="A36" s="2" t="s">
        <v>153</v>
      </c>
      <c r="B36" s="2" t="s">
        <v>149</v>
      </c>
      <c r="C36" s="6">
        <v>0.629</v>
      </c>
      <c r="D36" s="8">
        <v>0.3</v>
      </c>
      <c r="E36" s="8">
        <f t="shared" si="0"/>
        <v>0.18870000000000001</v>
      </c>
      <c r="F36" s="8">
        <f t="shared" si="1"/>
        <v>0.81769999999999998</v>
      </c>
    </row>
    <row r="37" spans="1:6" x14ac:dyDescent="0.2">
      <c r="A37" s="2" t="s">
        <v>153</v>
      </c>
      <c r="B37" s="2" t="s">
        <v>56</v>
      </c>
      <c r="C37" s="6">
        <v>0.10199999999999999</v>
      </c>
      <c r="D37" s="8">
        <v>0.3</v>
      </c>
      <c r="E37" s="8">
        <f t="shared" si="0"/>
        <v>3.0599999999999995E-2</v>
      </c>
      <c r="F37" s="8">
        <f t="shared" si="1"/>
        <v>0.1326</v>
      </c>
    </row>
    <row r="38" spans="1:6" x14ac:dyDescent="0.2">
      <c r="A38" s="2" t="s">
        <v>153</v>
      </c>
      <c r="B38" s="2" t="s">
        <v>152</v>
      </c>
      <c r="C38" s="6">
        <v>0.255</v>
      </c>
      <c r="D38" s="8">
        <v>0.3</v>
      </c>
      <c r="E38" s="8">
        <f t="shared" si="0"/>
        <v>7.6499999999999999E-2</v>
      </c>
      <c r="F38" s="8">
        <f t="shared" si="1"/>
        <v>0.33150000000000002</v>
      </c>
    </row>
  </sheetData>
  <sortState xmlns:xlrd2="http://schemas.microsoft.com/office/spreadsheetml/2017/richdata2" ref="A2:F38">
    <sortCondition ref="A2:A38"/>
    <sortCondition ref="B2:B38"/>
  </sortState>
  <dataValidations disablePrompts="1" count="1">
    <dataValidation type="decimal" allowBlank="1" showInputMessage="1" showErrorMessage="1" sqref="J1" xr:uid="{15B5BC02-7F39-D34F-B625-2CAB331374AA}">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PVR_Raffraichir" altText="Raffraichir">
                <anchor moveWithCells="1" sizeWithCells="1">
                  <from>
                    <xdr:col>7</xdr:col>
                    <xdr:colOff>50800</xdr:colOff>
                    <xdr:row>0</xdr:row>
                    <xdr:rowOff>203200</xdr:rowOff>
                  </from>
                  <to>
                    <xdr:col>7</xdr:col>
                    <xdr:colOff>1574800</xdr:colOff>
                    <xdr:row>0</xdr:row>
                    <xdr:rowOff>584200</xdr:rowOff>
                  </to>
                </anchor>
              </controlPr>
            </control>
          </mc:Choice>
        </mc:AlternateContent>
        <mc:AlternateContent xmlns:mc="http://schemas.openxmlformats.org/markup-compatibility/2006">
          <mc:Choice Requires="x14">
            <control shapeId="11266" r:id="rId4" name="Button 2">
              <controlPr defaultSize="0" print="0" autoFill="0" autoPict="0" macro="[0]!PVR_TrierTableauParCoutUnitaire">
                <anchor moveWithCells="1" sizeWithCells="1">
                  <from>
                    <xdr:col>10</xdr:col>
                    <xdr:colOff>190500</xdr:colOff>
                    <xdr:row>0</xdr:row>
                    <xdr:rowOff>127000</xdr:rowOff>
                  </from>
                  <to>
                    <xdr:col>12</xdr:col>
                    <xdr:colOff>63500</xdr:colOff>
                    <xdr:row>0</xdr:row>
                    <xdr:rowOff>584200</xdr:rowOff>
                  </to>
                </anchor>
              </controlPr>
            </control>
          </mc:Choice>
        </mc:AlternateContent>
        <mc:AlternateContent xmlns:mc="http://schemas.openxmlformats.org/markup-compatibility/2006">
          <mc:Choice Requires="x14">
            <control shapeId="11267" r:id="rId5" name="Button 3">
              <controlPr defaultSize="0" print="0" autoFill="0" autoPict="0" macro="[0]!PVR_TrierTableauParTypeParEcette">
                <anchor moveWithCells="1" sizeWithCells="1">
                  <from>
                    <xdr:col>12</xdr:col>
                    <xdr:colOff>266700</xdr:colOff>
                    <xdr:row>0</xdr:row>
                    <xdr:rowOff>101600</xdr:rowOff>
                  </from>
                  <to>
                    <xdr:col>14</xdr:col>
                    <xdr:colOff>139700</xdr:colOff>
                    <xdr:row>0</xdr:row>
                    <xdr:rowOff>571500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E29D4-F430-C14C-945A-ACACA1F7A7EF}">
  <sheetPr codeName="Feuil7"/>
  <dimension ref="A1:P38"/>
  <sheetViews>
    <sheetView workbookViewId="0">
      <selection activeCell="J15" sqref="J15"/>
    </sheetView>
  </sheetViews>
  <sheetFormatPr baseColWidth="10" defaultRowHeight="16" x14ac:dyDescent="0.2"/>
  <cols>
    <col min="1" max="1" width="25.83203125" bestFit="1" customWidth="1"/>
    <col min="2" max="2" width="32.83203125" bestFit="1" customWidth="1"/>
    <col min="3" max="3" width="17.1640625" style="9" customWidth="1"/>
    <col min="4" max="5" width="10.83203125" style="9"/>
    <col min="12" max="12" width="25.83203125" bestFit="1" customWidth="1"/>
    <col min="13" max="13" width="32.83203125" bestFit="1" customWidth="1"/>
    <col min="14" max="14" width="16.5" customWidth="1"/>
  </cols>
  <sheetData>
    <row r="1" spans="1:16" ht="60" customHeight="1" x14ac:dyDescent="0.2">
      <c r="A1" s="4" t="s">
        <v>113</v>
      </c>
      <c r="B1" s="4" t="s">
        <v>128</v>
      </c>
      <c r="C1" s="5" t="s">
        <v>135</v>
      </c>
      <c r="D1" s="5" t="s">
        <v>134</v>
      </c>
      <c r="E1" s="5" t="s">
        <v>379</v>
      </c>
      <c r="L1" s="4" t="s">
        <v>113</v>
      </c>
      <c r="M1" s="4" t="s">
        <v>128</v>
      </c>
      <c r="N1" s="4" t="s">
        <v>135</v>
      </c>
      <c r="O1" s="4" t="s">
        <v>134</v>
      </c>
      <c r="P1" s="4" t="s">
        <v>379</v>
      </c>
    </row>
    <row r="2" spans="1:16" x14ac:dyDescent="0.2">
      <c r="A2" s="2" t="s">
        <v>131</v>
      </c>
      <c r="B2" s="2" t="s">
        <v>125</v>
      </c>
      <c r="C2" s="6">
        <v>6.3E-2</v>
      </c>
      <c r="D2" s="132">
        <v>2.8</v>
      </c>
      <c r="E2" s="8">
        <f>D2/C2</f>
        <v>44.444444444444443</v>
      </c>
      <c r="L2" s="2" t="s">
        <v>131</v>
      </c>
      <c r="M2" s="2" t="s">
        <v>125</v>
      </c>
      <c r="N2" s="2">
        <v>6.3E-2</v>
      </c>
      <c r="O2" s="2">
        <v>2.8</v>
      </c>
      <c r="P2" s="2">
        <v>44.444444444444443</v>
      </c>
    </row>
    <row r="3" spans="1:16" x14ac:dyDescent="0.2">
      <c r="A3" s="2" t="s">
        <v>131</v>
      </c>
      <c r="B3" s="2" t="s">
        <v>122</v>
      </c>
      <c r="C3" s="6">
        <v>6.3E-2</v>
      </c>
      <c r="D3" s="132">
        <v>2.8</v>
      </c>
      <c r="E3" s="8">
        <f t="shared" ref="E3:E38" si="0">D3/C3</f>
        <v>44.444444444444443</v>
      </c>
      <c r="L3" s="2" t="s">
        <v>131</v>
      </c>
      <c r="M3" s="2" t="s">
        <v>122</v>
      </c>
      <c r="N3" s="2">
        <v>6.3E-2</v>
      </c>
      <c r="O3" s="2">
        <v>2.8</v>
      </c>
      <c r="P3" s="2">
        <v>44.444444444444443</v>
      </c>
    </row>
    <row r="4" spans="1:16" x14ac:dyDescent="0.2">
      <c r="A4" s="2" t="s">
        <v>153</v>
      </c>
      <c r="B4" s="2" t="s">
        <v>56</v>
      </c>
      <c r="C4" s="6">
        <v>0.10199999999999999</v>
      </c>
      <c r="D4" s="132">
        <v>2.8</v>
      </c>
      <c r="E4" s="8">
        <f t="shared" si="0"/>
        <v>27.450980392156861</v>
      </c>
      <c r="L4" s="2" t="s">
        <v>153</v>
      </c>
      <c r="M4" s="2" t="s">
        <v>56</v>
      </c>
      <c r="N4" s="2">
        <v>0.10199999999999999</v>
      </c>
      <c r="O4" s="2">
        <v>2.8</v>
      </c>
      <c r="P4" s="2">
        <v>27.450980392156861</v>
      </c>
    </row>
    <row r="5" spans="1:16" x14ac:dyDescent="0.2">
      <c r="A5" s="2" t="s">
        <v>153</v>
      </c>
      <c r="B5" s="2" t="s">
        <v>151</v>
      </c>
      <c r="C5" s="6">
        <v>0.122</v>
      </c>
      <c r="D5" s="132">
        <v>3.8</v>
      </c>
      <c r="E5" s="8">
        <f t="shared" si="0"/>
        <v>31.147540983606557</v>
      </c>
      <c r="L5" s="2" t="s">
        <v>153</v>
      </c>
      <c r="M5" s="2" t="s">
        <v>151</v>
      </c>
      <c r="N5" s="2">
        <v>0.122</v>
      </c>
      <c r="O5" s="2">
        <v>3.8</v>
      </c>
      <c r="P5" s="2">
        <v>31.147540983606557</v>
      </c>
    </row>
    <row r="6" spans="1:16" x14ac:dyDescent="0.2">
      <c r="A6" s="2" t="s">
        <v>131</v>
      </c>
      <c r="B6" s="2" t="s">
        <v>380</v>
      </c>
      <c r="C6" s="6">
        <v>0.23300000000000001</v>
      </c>
      <c r="D6" s="132">
        <v>2.8</v>
      </c>
      <c r="E6" s="8">
        <f t="shared" si="0"/>
        <v>12.017167381974248</v>
      </c>
      <c r="L6" s="2" t="s">
        <v>131</v>
      </c>
      <c r="M6" s="2" t="s">
        <v>380</v>
      </c>
      <c r="N6" s="2">
        <v>0.23300000000000001</v>
      </c>
      <c r="O6" s="2">
        <v>2.8</v>
      </c>
      <c r="P6" s="2">
        <v>12.017167381974248</v>
      </c>
    </row>
    <row r="7" spans="1:16" x14ac:dyDescent="0.2">
      <c r="A7" s="2" t="s">
        <v>153</v>
      </c>
      <c r="B7" s="2" t="s">
        <v>152</v>
      </c>
      <c r="C7" s="6">
        <v>0.255</v>
      </c>
      <c r="D7" s="132">
        <v>13.9</v>
      </c>
      <c r="E7" s="8">
        <f t="shared" si="0"/>
        <v>54.509803921568626</v>
      </c>
      <c r="L7" s="2" t="s">
        <v>153</v>
      </c>
      <c r="M7" s="2" t="s">
        <v>152</v>
      </c>
      <c r="N7" s="2">
        <v>0.255</v>
      </c>
      <c r="O7" s="2">
        <v>13.9</v>
      </c>
      <c r="P7" s="2">
        <v>54.509803921568626</v>
      </c>
    </row>
    <row r="8" spans="1:16" x14ac:dyDescent="0.2">
      <c r="A8" s="2" t="s">
        <v>114</v>
      </c>
      <c r="B8" s="2" t="s">
        <v>87</v>
      </c>
      <c r="C8" s="6">
        <v>0.27600000000000002</v>
      </c>
      <c r="D8" s="132">
        <v>3.9</v>
      </c>
      <c r="E8" s="8">
        <f t="shared" si="0"/>
        <v>14.130434782608694</v>
      </c>
      <c r="L8" s="2" t="s">
        <v>114</v>
      </c>
      <c r="M8" s="2" t="s">
        <v>87</v>
      </c>
      <c r="N8" s="2">
        <v>0.27600000000000002</v>
      </c>
      <c r="O8" s="2">
        <v>3.9</v>
      </c>
      <c r="P8" s="2">
        <v>14.130434782608694</v>
      </c>
    </row>
    <row r="9" spans="1:16" x14ac:dyDescent="0.2">
      <c r="A9" s="2" t="s">
        <v>131</v>
      </c>
      <c r="B9" s="2" t="s">
        <v>123</v>
      </c>
      <c r="C9" s="6">
        <v>0.29199999999999998</v>
      </c>
      <c r="D9" s="132">
        <v>2.9</v>
      </c>
      <c r="E9" s="8">
        <f t="shared" si="0"/>
        <v>9.9315068493150687</v>
      </c>
      <c r="L9" s="2" t="s">
        <v>131</v>
      </c>
      <c r="M9" s="2" t="s">
        <v>123</v>
      </c>
      <c r="N9" s="2">
        <v>0.29199999999999998</v>
      </c>
      <c r="O9" s="2">
        <v>2.9</v>
      </c>
      <c r="P9" s="2">
        <v>9.9315068493150687</v>
      </c>
    </row>
    <row r="10" spans="1:16" x14ac:dyDescent="0.2">
      <c r="A10" s="2" t="s">
        <v>153</v>
      </c>
      <c r="B10" s="2" t="s">
        <v>150</v>
      </c>
      <c r="C10" s="6">
        <v>0.313</v>
      </c>
      <c r="D10" s="132">
        <v>2.8</v>
      </c>
      <c r="E10" s="8">
        <f t="shared" si="0"/>
        <v>8.9456869009584654</v>
      </c>
      <c r="L10" s="2" t="s">
        <v>153</v>
      </c>
      <c r="M10" s="2" t="s">
        <v>150</v>
      </c>
      <c r="N10" s="2">
        <v>0.313</v>
      </c>
      <c r="O10" s="2">
        <v>2.8</v>
      </c>
      <c r="P10" s="2">
        <v>8.9456869009584654</v>
      </c>
    </row>
    <row r="11" spans="1:16" x14ac:dyDescent="0.2">
      <c r="A11" s="2" t="s">
        <v>154</v>
      </c>
      <c r="B11" s="2" t="s">
        <v>159</v>
      </c>
      <c r="C11" s="6">
        <v>0.37</v>
      </c>
      <c r="D11" s="132">
        <v>3.5</v>
      </c>
      <c r="E11" s="8">
        <f t="shared" si="0"/>
        <v>9.4594594594594597</v>
      </c>
      <c r="L11" s="2" t="s">
        <v>154</v>
      </c>
      <c r="M11" s="2" t="s">
        <v>159</v>
      </c>
      <c r="N11" s="2">
        <v>0.37</v>
      </c>
      <c r="O11" s="2">
        <v>3.5</v>
      </c>
      <c r="P11" s="2">
        <v>9.4594594594594597</v>
      </c>
    </row>
    <row r="12" spans="1:16" x14ac:dyDescent="0.2">
      <c r="A12" s="2" t="s">
        <v>154</v>
      </c>
      <c r="B12" s="2" t="s">
        <v>161</v>
      </c>
      <c r="C12" s="6">
        <v>0.37</v>
      </c>
      <c r="D12" s="132">
        <v>4.5</v>
      </c>
      <c r="E12" s="8">
        <f t="shared" si="0"/>
        <v>12.162162162162163</v>
      </c>
      <c r="L12" s="2" t="s">
        <v>154</v>
      </c>
      <c r="M12" s="2" t="s">
        <v>161</v>
      </c>
      <c r="N12" s="2">
        <v>0.37</v>
      </c>
      <c r="O12" s="2">
        <v>4.5</v>
      </c>
      <c r="P12" s="2">
        <v>12.162162162162163</v>
      </c>
    </row>
    <row r="13" spans="1:16" x14ac:dyDescent="0.2">
      <c r="A13" s="2" t="s">
        <v>154</v>
      </c>
      <c r="B13" s="2" t="s">
        <v>157</v>
      </c>
      <c r="C13" s="6">
        <v>0.38900000000000001</v>
      </c>
      <c r="D13" s="132">
        <v>3.2</v>
      </c>
      <c r="E13" s="8">
        <f t="shared" si="0"/>
        <v>8.2262210796915163</v>
      </c>
      <c r="L13" s="2" t="s">
        <v>154</v>
      </c>
      <c r="M13" s="2" t="s">
        <v>157</v>
      </c>
      <c r="N13" s="2">
        <v>0.38900000000000001</v>
      </c>
      <c r="O13" s="2">
        <v>3.2</v>
      </c>
      <c r="P13" s="2">
        <v>8.2262210796915163</v>
      </c>
    </row>
    <row r="14" spans="1:16" x14ac:dyDescent="0.2">
      <c r="A14" s="2" t="s">
        <v>155</v>
      </c>
      <c r="B14" s="2" t="s">
        <v>141</v>
      </c>
      <c r="C14" s="6">
        <v>0.39900000000000002</v>
      </c>
      <c r="D14" s="132">
        <v>3.4</v>
      </c>
      <c r="E14" s="8">
        <f t="shared" si="0"/>
        <v>8.5213032581453625</v>
      </c>
      <c r="L14" s="2" t="s">
        <v>155</v>
      </c>
      <c r="M14" s="2" t="s">
        <v>141</v>
      </c>
      <c r="N14" s="2">
        <v>0.39900000000000002</v>
      </c>
      <c r="O14" s="2">
        <v>3.4</v>
      </c>
      <c r="P14" s="2">
        <v>8.5213032581453625</v>
      </c>
    </row>
    <row r="15" spans="1:16" x14ac:dyDescent="0.2">
      <c r="A15" s="2" t="s">
        <v>154</v>
      </c>
      <c r="B15" s="2" t="s">
        <v>158</v>
      </c>
      <c r="C15" s="6">
        <v>0.42599999999999999</v>
      </c>
      <c r="D15" s="132">
        <v>3.4</v>
      </c>
      <c r="E15" s="8">
        <f t="shared" si="0"/>
        <v>7.981220657276995</v>
      </c>
      <c r="L15" s="2" t="s">
        <v>154</v>
      </c>
      <c r="M15" s="2" t="s">
        <v>158</v>
      </c>
      <c r="N15" s="2">
        <v>0.42599999999999999</v>
      </c>
      <c r="O15" s="2">
        <v>3.4</v>
      </c>
      <c r="P15" s="2">
        <v>7.981220657276995</v>
      </c>
    </row>
    <row r="16" spans="1:16" x14ac:dyDescent="0.2">
      <c r="A16" s="2" t="s">
        <v>154</v>
      </c>
      <c r="B16" s="2" t="s">
        <v>401</v>
      </c>
      <c r="C16" s="6">
        <v>0.442</v>
      </c>
      <c r="D16" s="132">
        <v>3.6</v>
      </c>
      <c r="E16" s="8">
        <f t="shared" si="0"/>
        <v>8.1447963800904972</v>
      </c>
      <c r="L16" s="2" t="s">
        <v>154</v>
      </c>
      <c r="M16" s="2" t="s">
        <v>401</v>
      </c>
      <c r="N16" s="2">
        <v>0.442</v>
      </c>
      <c r="O16" s="2">
        <v>3.6</v>
      </c>
      <c r="P16" s="2">
        <v>8.1447963800904972</v>
      </c>
    </row>
    <row r="17" spans="1:16" x14ac:dyDescent="0.2">
      <c r="A17" s="2" t="s">
        <v>131</v>
      </c>
      <c r="B17" s="2" t="s">
        <v>124</v>
      </c>
      <c r="C17" s="6">
        <v>0.44400000000000001</v>
      </c>
      <c r="D17" s="132">
        <v>2.9</v>
      </c>
      <c r="E17" s="8">
        <f t="shared" si="0"/>
        <v>6.531531531531531</v>
      </c>
      <c r="L17" s="2" t="s">
        <v>131</v>
      </c>
      <c r="M17" s="2" t="s">
        <v>124</v>
      </c>
      <c r="N17" s="2">
        <v>0.44400000000000001</v>
      </c>
      <c r="O17" s="2">
        <v>2.9</v>
      </c>
      <c r="P17" s="2">
        <v>6.531531531531531</v>
      </c>
    </row>
    <row r="18" spans="1:16" x14ac:dyDescent="0.2">
      <c r="A18" s="2" t="s">
        <v>156</v>
      </c>
      <c r="B18" s="2" t="s">
        <v>144</v>
      </c>
      <c r="C18" s="6">
        <v>0.52700000000000002</v>
      </c>
      <c r="D18" s="132">
        <v>3.9</v>
      </c>
      <c r="E18" s="8">
        <f t="shared" si="0"/>
        <v>7.4003795066413653</v>
      </c>
      <c r="L18" s="2" t="s">
        <v>156</v>
      </c>
      <c r="M18" s="2" t="s">
        <v>144</v>
      </c>
      <c r="N18" s="2">
        <v>0.52700000000000002</v>
      </c>
      <c r="O18" s="2">
        <v>3.9</v>
      </c>
      <c r="P18" s="2">
        <v>7.4003795066413653</v>
      </c>
    </row>
    <row r="19" spans="1:16" x14ac:dyDescent="0.2">
      <c r="A19" s="2" t="s">
        <v>118</v>
      </c>
      <c r="B19" s="2" t="s">
        <v>126</v>
      </c>
      <c r="C19" s="6">
        <v>0.53300000000000003</v>
      </c>
      <c r="D19" s="132">
        <v>3.9</v>
      </c>
      <c r="E19" s="8">
        <f t="shared" si="0"/>
        <v>7.3170731707317067</v>
      </c>
      <c r="L19" s="2" t="s">
        <v>118</v>
      </c>
      <c r="M19" s="2" t="s">
        <v>126</v>
      </c>
      <c r="N19" s="2">
        <v>0.53300000000000003</v>
      </c>
      <c r="O19" s="2">
        <v>3.9</v>
      </c>
      <c r="P19" s="2">
        <v>7.3170731707317067</v>
      </c>
    </row>
    <row r="20" spans="1:16" x14ac:dyDescent="0.2">
      <c r="A20" s="2" t="s">
        <v>155</v>
      </c>
      <c r="B20" s="2" t="s">
        <v>142</v>
      </c>
      <c r="C20" s="6">
        <v>0.55100000000000005</v>
      </c>
      <c r="D20" s="132">
        <v>4.0999999999999996</v>
      </c>
      <c r="E20" s="8">
        <f t="shared" si="0"/>
        <v>7.4410163339382924</v>
      </c>
      <c r="L20" s="2" t="s">
        <v>155</v>
      </c>
      <c r="M20" s="2" t="s">
        <v>142</v>
      </c>
      <c r="N20" s="2">
        <v>0.55100000000000005</v>
      </c>
      <c r="O20" s="2">
        <v>4.0999999999999996</v>
      </c>
      <c r="P20" s="2">
        <v>7.4410163339382924</v>
      </c>
    </row>
    <row r="21" spans="1:16" x14ac:dyDescent="0.2">
      <c r="A21" s="2" t="s">
        <v>155</v>
      </c>
      <c r="B21" s="2" t="s">
        <v>143</v>
      </c>
      <c r="C21" s="6">
        <v>0.624</v>
      </c>
      <c r="D21" s="132">
        <v>4.0999999999999996</v>
      </c>
      <c r="E21" s="8">
        <f t="shared" si="0"/>
        <v>6.5705128205128203</v>
      </c>
      <c r="L21" s="2" t="s">
        <v>155</v>
      </c>
      <c r="M21" s="2" t="s">
        <v>143</v>
      </c>
      <c r="N21" s="2">
        <v>0.624</v>
      </c>
      <c r="O21" s="2">
        <v>4.0999999999999996</v>
      </c>
      <c r="P21" s="2">
        <v>6.5705128205128203</v>
      </c>
    </row>
    <row r="22" spans="1:16" x14ac:dyDescent="0.2">
      <c r="A22" s="2" t="s">
        <v>153</v>
      </c>
      <c r="B22" s="2" t="s">
        <v>149</v>
      </c>
      <c r="C22" s="6">
        <v>0.629</v>
      </c>
      <c r="D22" s="132">
        <v>4.2</v>
      </c>
      <c r="E22" s="8">
        <f t="shared" si="0"/>
        <v>6.6772655007949124</v>
      </c>
      <c r="L22" s="2" t="s">
        <v>153</v>
      </c>
      <c r="M22" s="2" t="s">
        <v>149</v>
      </c>
      <c r="N22" s="2">
        <v>0.629</v>
      </c>
      <c r="O22" s="2">
        <v>4.2</v>
      </c>
      <c r="P22" s="2">
        <v>6.6772655007949124</v>
      </c>
    </row>
    <row r="23" spans="1:16" x14ac:dyDescent="0.2">
      <c r="A23" s="2" t="s">
        <v>154</v>
      </c>
      <c r="B23" s="2" t="s">
        <v>140</v>
      </c>
      <c r="C23" s="6">
        <v>0.63</v>
      </c>
      <c r="D23" s="132">
        <v>3.6</v>
      </c>
      <c r="E23" s="8">
        <f t="shared" si="0"/>
        <v>5.7142857142857144</v>
      </c>
      <c r="L23" s="2" t="s">
        <v>154</v>
      </c>
      <c r="M23" s="2" t="s">
        <v>140</v>
      </c>
      <c r="N23" s="2">
        <v>0.63</v>
      </c>
      <c r="O23" s="2">
        <v>3.6</v>
      </c>
      <c r="P23" s="2">
        <v>5.7142857142857144</v>
      </c>
    </row>
    <row r="24" spans="1:16" x14ac:dyDescent="0.2">
      <c r="A24" s="2" t="s">
        <v>154</v>
      </c>
      <c r="B24" s="2" t="s">
        <v>160</v>
      </c>
      <c r="C24" s="6">
        <v>0.63400000000000001</v>
      </c>
      <c r="D24" s="132">
        <v>4.4000000000000004</v>
      </c>
      <c r="E24" s="8">
        <f t="shared" si="0"/>
        <v>6.9400630914826502</v>
      </c>
      <c r="L24" s="2" t="s">
        <v>154</v>
      </c>
      <c r="M24" s="2" t="s">
        <v>160</v>
      </c>
      <c r="N24" s="2">
        <v>0.63400000000000001</v>
      </c>
      <c r="O24" s="2">
        <v>4.4000000000000004</v>
      </c>
      <c r="P24" s="2">
        <v>6.9400630914826502</v>
      </c>
    </row>
    <row r="25" spans="1:16" x14ac:dyDescent="0.2">
      <c r="A25" s="2" t="s">
        <v>131</v>
      </c>
      <c r="B25" s="2" t="s">
        <v>121</v>
      </c>
      <c r="C25" s="6">
        <v>0.747</v>
      </c>
      <c r="D25" s="132">
        <v>3.9</v>
      </c>
      <c r="E25" s="8">
        <f t="shared" si="0"/>
        <v>5.2208835341365463</v>
      </c>
      <c r="L25" s="2" t="s">
        <v>131</v>
      </c>
      <c r="M25" s="2" t="s">
        <v>121</v>
      </c>
      <c r="N25" s="2">
        <v>0.747</v>
      </c>
      <c r="O25" s="2">
        <v>3.9</v>
      </c>
      <c r="P25" s="2">
        <v>5.2208835341365463</v>
      </c>
    </row>
    <row r="26" spans="1:16" x14ac:dyDescent="0.2">
      <c r="A26" s="2" t="s">
        <v>156</v>
      </c>
      <c r="B26" s="2" t="s">
        <v>146</v>
      </c>
      <c r="C26" s="6">
        <v>0.76600000000000001</v>
      </c>
      <c r="D26" s="132">
        <v>3.9</v>
      </c>
      <c r="E26" s="8">
        <f t="shared" si="0"/>
        <v>5.0913838120104433</v>
      </c>
      <c r="L26" s="2" t="s">
        <v>156</v>
      </c>
      <c r="M26" s="2" t="s">
        <v>146</v>
      </c>
      <c r="N26" s="2">
        <v>0.76600000000000001</v>
      </c>
      <c r="O26" s="2">
        <v>3.9</v>
      </c>
      <c r="P26" s="2">
        <v>5.0913838120104433</v>
      </c>
    </row>
    <row r="27" spans="1:16" x14ac:dyDescent="0.2">
      <c r="A27" s="2" t="s">
        <v>114</v>
      </c>
      <c r="B27" s="2" t="s">
        <v>108</v>
      </c>
      <c r="C27" s="6">
        <v>0.79500000000000004</v>
      </c>
      <c r="D27" s="132">
        <v>4.5</v>
      </c>
      <c r="E27" s="8">
        <f t="shared" si="0"/>
        <v>5.6603773584905657</v>
      </c>
      <c r="L27" s="2" t="s">
        <v>114</v>
      </c>
      <c r="M27" s="2" t="s">
        <v>108</v>
      </c>
      <c r="N27" s="2">
        <v>0.79500000000000004</v>
      </c>
      <c r="O27" s="2">
        <v>4.5</v>
      </c>
      <c r="P27" s="2">
        <v>5.6603773584905657</v>
      </c>
    </row>
    <row r="28" spans="1:16" x14ac:dyDescent="0.2">
      <c r="A28" s="2" t="s">
        <v>156</v>
      </c>
      <c r="B28" s="2" t="s">
        <v>145</v>
      </c>
      <c r="C28" s="6">
        <v>0.81499999999999995</v>
      </c>
      <c r="D28" s="132">
        <v>4.5999999999999996</v>
      </c>
      <c r="E28" s="8">
        <f t="shared" si="0"/>
        <v>5.6441717791411046</v>
      </c>
      <c r="L28" s="2" t="s">
        <v>156</v>
      </c>
      <c r="M28" s="2" t="s">
        <v>145</v>
      </c>
      <c r="N28" s="2">
        <v>0.81499999999999995</v>
      </c>
      <c r="O28" s="2">
        <v>4.5999999999999996</v>
      </c>
      <c r="P28" s="2">
        <v>5.6441717791411046</v>
      </c>
    </row>
    <row r="29" spans="1:16" x14ac:dyDescent="0.2">
      <c r="A29" s="2" t="s">
        <v>118</v>
      </c>
      <c r="B29" s="2" t="s">
        <v>116</v>
      </c>
      <c r="C29" s="6">
        <v>0.82299999999999995</v>
      </c>
      <c r="D29" s="132">
        <v>4.7</v>
      </c>
      <c r="E29" s="8">
        <f t="shared" si="0"/>
        <v>5.7108140947752135</v>
      </c>
      <c r="L29" s="2" t="s">
        <v>118</v>
      </c>
      <c r="M29" s="2" t="s">
        <v>116</v>
      </c>
      <c r="N29" s="2">
        <v>0.82299999999999995</v>
      </c>
      <c r="O29" s="2">
        <v>4.7</v>
      </c>
      <c r="P29" s="2">
        <v>5.7108140947752135</v>
      </c>
    </row>
    <row r="30" spans="1:16" x14ac:dyDescent="0.2">
      <c r="A30" s="2" t="s">
        <v>114</v>
      </c>
      <c r="B30" s="2" t="s">
        <v>91</v>
      </c>
      <c r="C30" s="6">
        <v>0.97799999999999998</v>
      </c>
      <c r="D30" s="132">
        <v>4.8</v>
      </c>
      <c r="E30" s="8">
        <f t="shared" si="0"/>
        <v>4.9079754601226995</v>
      </c>
      <c r="L30" s="2" t="s">
        <v>114</v>
      </c>
      <c r="M30" s="2" t="s">
        <v>91</v>
      </c>
      <c r="N30" s="2">
        <v>0.97799999999999998</v>
      </c>
      <c r="O30" s="2">
        <v>4.8</v>
      </c>
      <c r="P30" s="2">
        <v>4.9079754601226995</v>
      </c>
    </row>
    <row r="31" spans="1:16" x14ac:dyDescent="0.2">
      <c r="A31" s="2" t="s">
        <v>118</v>
      </c>
      <c r="B31" s="2" t="s">
        <v>120</v>
      </c>
      <c r="C31" s="6">
        <v>1.0149999999999999</v>
      </c>
      <c r="D31" s="132">
        <v>4.9000000000000004</v>
      </c>
      <c r="E31" s="8">
        <f t="shared" si="0"/>
        <v>4.8275862068965525</v>
      </c>
      <c r="L31" s="2" t="s">
        <v>118</v>
      </c>
      <c r="M31" s="2" t="s">
        <v>120</v>
      </c>
      <c r="N31" s="2">
        <v>1.0149999999999999</v>
      </c>
      <c r="O31" s="2">
        <v>4.9000000000000004</v>
      </c>
      <c r="P31" s="2">
        <v>4.8275862068965525</v>
      </c>
    </row>
    <row r="32" spans="1:16" x14ac:dyDescent="0.2">
      <c r="A32" s="2" t="s">
        <v>114</v>
      </c>
      <c r="B32" s="2" t="s">
        <v>94</v>
      </c>
      <c r="C32" s="6">
        <v>1.0269999999999999</v>
      </c>
      <c r="D32" s="132">
        <v>9</v>
      </c>
      <c r="E32" s="8">
        <f t="shared" si="0"/>
        <v>8.7633885102239546</v>
      </c>
      <c r="L32" s="2" t="s">
        <v>114</v>
      </c>
      <c r="M32" s="2" t="s">
        <v>94</v>
      </c>
      <c r="N32" s="2">
        <v>1.0269999999999999</v>
      </c>
      <c r="O32" s="2">
        <v>9</v>
      </c>
      <c r="P32" s="2">
        <v>8.7633885102239546</v>
      </c>
    </row>
    <row r="33" spans="1:16" x14ac:dyDescent="0.2">
      <c r="A33" s="2" t="s">
        <v>156</v>
      </c>
      <c r="B33" s="2" t="s">
        <v>147</v>
      </c>
      <c r="C33" s="6">
        <v>1.0940000000000001</v>
      </c>
      <c r="D33" s="132">
        <v>5.7</v>
      </c>
      <c r="E33" s="8">
        <f t="shared" si="0"/>
        <v>5.210237659963437</v>
      </c>
      <c r="L33" s="2" t="s">
        <v>156</v>
      </c>
      <c r="M33" s="2" t="s">
        <v>147</v>
      </c>
      <c r="N33" s="2">
        <v>1.0940000000000001</v>
      </c>
      <c r="O33" s="2">
        <v>5.7</v>
      </c>
      <c r="P33" s="2">
        <v>5.210237659963437</v>
      </c>
    </row>
    <row r="34" spans="1:16" x14ac:dyDescent="0.2">
      <c r="A34" s="2" t="s">
        <v>156</v>
      </c>
      <c r="B34" s="2" t="s">
        <v>148</v>
      </c>
      <c r="C34" s="6">
        <v>1.0940000000000001</v>
      </c>
      <c r="D34" s="132">
        <v>5.9</v>
      </c>
      <c r="E34" s="8">
        <f t="shared" si="0"/>
        <v>5.3930530164533819</v>
      </c>
      <c r="L34" s="2" t="s">
        <v>156</v>
      </c>
      <c r="M34" s="2" t="s">
        <v>148</v>
      </c>
      <c r="N34" s="2">
        <v>1.0940000000000001</v>
      </c>
      <c r="O34" s="2">
        <v>5.9</v>
      </c>
      <c r="P34" s="2">
        <v>5.3930530164533819</v>
      </c>
    </row>
    <row r="35" spans="1:16" x14ac:dyDescent="0.2">
      <c r="A35" s="2" t="s">
        <v>114</v>
      </c>
      <c r="B35" s="2" t="s">
        <v>107</v>
      </c>
      <c r="C35" s="6">
        <v>1.73</v>
      </c>
      <c r="D35" s="132">
        <v>6.2</v>
      </c>
      <c r="E35" s="8">
        <f t="shared" si="0"/>
        <v>3.5838150289017343</v>
      </c>
      <c r="L35" s="2" t="s">
        <v>114</v>
      </c>
      <c r="M35" s="2" t="s">
        <v>107</v>
      </c>
      <c r="N35" s="2">
        <v>1.73</v>
      </c>
      <c r="O35" s="2">
        <v>6.2</v>
      </c>
      <c r="P35" s="2">
        <v>3.5838150289017343</v>
      </c>
    </row>
    <row r="36" spans="1:16" x14ac:dyDescent="0.2">
      <c r="A36" s="2" t="s">
        <v>114</v>
      </c>
      <c r="B36" s="2" t="s">
        <v>99</v>
      </c>
      <c r="C36" s="6">
        <v>1.982</v>
      </c>
      <c r="D36" s="132">
        <v>3.2</v>
      </c>
      <c r="E36" s="8">
        <f t="shared" si="0"/>
        <v>1.6145307769929365</v>
      </c>
      <c r="L36" s="2" t="s">
        <v>114</v>
      </c>
      <c r="M36" s="2" t="s">
        <v>99</v>
      </c>
      <c r="N36" s="2">
        <v>1.982</v>
      </c>
      <c r="O36" s="2">
        <v>3.2</v>
      </c>
      <c r="P36" s="2">
        <v>1.6145307769929365</v>
      </c>
    </row>
    <row r="37" spans="1:16" x14ac:dyDescent="0.2">
      <c r="A37" s="2" t="s">
        <v>114</v>
      </c>
      <c r="B37" s="2" t="s">
        <v>95</v>
      </c>
      <c r="C37" s="6">
        <v>2.9889999999999999</v>
      </c>
      <c r="D37" s="132">
        <v>11.9</v>
      </c>
      <c r="E37" s="8">
        <f t="shared" si="0"/>
        <v>3.9812646370023423</v>
      </c>
      <c r="L37" s="2" t="s">
        <v>114</v>
      </c>
      <c r="M37" s="2" t="s">
        <v>95</v>
      </c>
      <c r="N37" s="2">
        <v>2.9889999999999999</v>
      </c>
      <c r="O37" s="2">
        <v>11.9</v>
      </c>
      <c r="P37" s="2">
        <v>3.9812646370023423</v>
      </c>
    </row>
    <row r="38" spans="1:16" x14ac:dyDescent="0.2">
      <c r="A38" s="2" t="s">
        <v>114</v>
      </c>
      <c r="B38" s="2" t="s">
        <v>92</v>
      </c>
      <c r="C38" s="6">
        <v>4.1120000000000001</v>
      </c>
      <c r="D38" s="132">
        <v>5.3</v>
      </c>
      <c r="E38" s="8">
        <f t="shared" si="0"/>
        <v>1.2889105058365757</v>
      </c>
      <c r="L38" s="2" t="s">
        <v>114</v>
      </c>
      <c r="M38" s="2" t="s">
        <v>92</v>
      </c>
      <c r="N38" s="2">
        <v>4.1120000000000001</v>
      </c>
      <c r="O38" s="2">
        <v>5.3</v>
      </c>
      <c r="P38" s="2">
        <v>1.2889105058365757</v>
      </c>
    </row>
  </sheetData>
  <sortState xmlns:xlrd2="http://schemas.microsoft.com/office/spreadsheetml/2017/richdata2" ref="A2:D38">
    <sortCondition ref="C2:C38"/>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M_TrierTableauParTypeParEcette">
                <anchor moveWithCells="1" sizeWithCells="1">
                  <from>
                    <xdr:col>5</xdr:col>
                    <xdr:colOff>38100</xdr:colOff>
                    <xdr:row>0</xdr:row>
                    <xdr:rowOff>241300</xdr:rowOff>
                  </from>
                  <to>
                    <xdr:col>6</xdr:col>
                    <xdr:colOff>736600</xdr:colOff>
                    <xdr:row>0</xdr:row>
                    <xdr:rowOff>838200</xdr:rowOff>
                  </to>
                </anchor>
              </controlPr>
            </control>
          </mc:Choice>
        </mc:AlternateContent>
        <mc:AlternateContent xmlns:mc="http://schemas.openxmlformats.org/markup-compatibility/2006">
          <mc:Choice Requires="x14">
            <control shapeId="20482" r:id="rId4" name="Button 2">
              <controlPr defaultSize="0" print="0" autoFill="0" autoPict="0" macro="[0]!M_TrierTableauParPrixDeVenteMin">
                <anchor moveWithCells="1" sizeWithCells="1">
                  <from>
                    <xdr:col>7</xdr:col>
                    <xdr:colOff>228600</xdr:colOff>
                    <xdr:row>0</xdr:row>
                    <xdr:rowOff>228600</xdr:rowOff>
                  </from>
                  <to>
                    <xdr:col>9</xdr:col>
                    <xdr:colOff>101600</xdr:colOff>
                    <xdr:row>0</xdr:row>
                    <xdr:rowOff>825500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C77DA-F846-0D41-AA0D-83EE86018DB7}">
  <sheetPr codeName="Feuil8"/>
  <dimension ref="A1:BC159"/>
  <sheetViews>
    <sheetView workbookViewId="0">
      <selection activeCell="H43" sqref="H43"/>
    </sheetView>
  </sheetViews>
  <sheetFormatPr baseColWidth="10" defaultColWidth="5.83203125" defaultRowHeight="16" x14ac:dyDescent="0.2"/>
  <cols>
    <col min="1" max="1" width="25.83203125" bestFit="1" customWidth="1"/>
    <col min="2" max="2" width="32.83203125" bestFit="1" customWidth="1"/>
    <col min="3" max="3" width="14.1640625" bestFit="1" customWidth="1"/>
    <col min="4" max="7" width="10.83203125" bestFit="1" customWidth="1"/>
  </cols>
  <sheetData>
    <row r="1" spans="1:55" s="80" customFormat="1" ht="34" x14ac:dyDescent="0.2">
      <c r="A1" s="4" t="str">
        <f>'Récapitulatif couts recettes'!A1</f>
        <v>Type</v>
      </c>
      <c r="B1" s="4" t="e">
        <f>'Récapitulatif couts recettes'!#REF!</f>
        <v>#REF!</v>
      </c>
      <c r="C1" s="4" t="s">
        <v>139</v>
      </c>
      <c r="D1" s="4">
        <f>1</f>
        <v>1</v>
      </c>
      <c r="E1" s="4">
        <f>D1+1</f>
        <v>2</v>
      </c>
      <c r="F1" s="4">
        <f t="shared" ref="F1:AQ1" si="0">E1+1</f>
        <v>3</v>
      </c>
      <c r="G1" s="4">
        <f t="shared" si="0"/>
        <v>4</v>
      </c>
      <c r="H1" s="4">
        <f t="shared" si="0"/>
        <v>5</v>
      </c>
      <c r="I1" s="4">
        <f t="shared" si="0"/>
        <v>6</v>
      </c>
      <c r="J1" s="4">
        <f t="shared" si="0"/>
        <v>7</v>
      </c>
      <c r="K1" s="4">
        <f t="shared" si="0"/>
        <v>8</v>
      </c>
      <c r="L1" s="4">
        <f t="shared" si="0"/>
        <v>9</v>
      </c>
      <c r="M1" s="4">
        <f t="shared" si="0"/>
        <v>10</v>
      </c>
      <c r="N1" s="4">
        <f t="shared" si="0"/>
        <v>11</v>
      </c>
      <c r="O1" s="4">
        <f t="shared" si="0"/>
        <v>12</v>
      </c>
      <c r="P1" s="4">
        <f t="shared" si="0"/>
        <v>13</v>
      </c>
      <c r="Q1" s="4">
        <f t="shared" si="0"/>
        <v>14</v>
      </c>
      <c r="R1" s="4">
        <f t="shared" si="0"/>
        <v>15</v>
      </c>
      <c r="S1" s="4">
        <f t="shared" si="0"/>
        <v>16</v>
      </c>
      <c r="T1" s="4">
        <f t="shared" si="0"/>
        <v>17</v>
      </c>
      <c r="U1" s="4">
        <f t="shared" si="0"/>
        <v>18</v>
      </c>
      <c r="V1" s="4">
        <f t="shared" si="0"/>
        <v>19</v>
      </c>
      <c r="W1" s="4">
        <f t="shared" si="0"/>
        <v>20</v>
      </c>
      <c r="X1" s="4">
        <f t="shared" si="0"/>
        <v>21</v>
      </c>
      <c r="Y1" s="4">
        <f t="shared" si="0"/>
        <v>22</v>
      </c>
      <c r="Z1" s="4">
        <f t="shared" si="0"/>
        <v>23</v>
      </c>
      <c r="AA1" s="4">
        <f t="shared" si="0"/>
        <v>24</v>
      </c>
      <c r="AB1" s="4">
        <f t="shared" si="0"/>
        <v>25</v>
      </c>
      <c r="AC1" s="4">
        <f t="shared" si="0"/>
        <v>26</v>
      </c>
      <c r="AD1" s="4">
        <f t="shared" si="0"/>
        <v>27</v>
      </c>
      <c r="AE1" s="4">
        <f t="shared" si="0"/>
        <v>28</v>
      </c>
      <c r="AF1" s="4">
        <f t="shared" si="0"/>
        <v>29</v>
      </c>
      <c r="AG1" s="4">
        <f t="shared" si="0"/>
        <v>30</v>
      </c>
      <c r="AH1" s="4">
        <f t="shared" si="0"/>
        <v>31</v>
      </c>
      <c r="AI1" s="4">
        <f t="shared" si="0"/>
        <v>32</v>
      </c>
      <c r="AJ1" s="4">
        <f t="shared" si="0"/>
        <v>33</v>
      </c>
      <c r="AK1" s="4">
        <f t="shared" si="0"/>
        <v>34</v>
      </c>
      <c r="AL1" s="4">
        <f t="shared" si="0"/>
        <v>35</v>
      </c>
      <c r="AM1" s="4">
        <f t="shared" si="0"/>
        <v>36</v>
      </c>
      <c r="AN1" s="4">
        <f t="shared" si="0"/>
        <v>37</v>
      </c>
      <c r="AO1" s="4">
        <f t="shared" si="0"/>
        <v>38</v>
      </c>
      <c r="AP1" s="4">
        <f t="shared" si="0"/>
        <v>39</v>
      </c>
      <c r="AQ1" s="4">
        <f t="shared" si="0"/>
        <v>40</v>
      </c>
      <c r="AR1" s="4">
        <f t="shared" ref="AR1" si="1">AQ1+1</f>
        <v>41</v>
      </c>
      <c r="AS1" s="4">
        <f t="shared" ref="AS1" si="2">AR1+1</f>
        <v>42</v>
      </c>
      <c r="AT1" s="4">
        <f t="shared" ref="AT1" si="3">AS1+1</f>
        <v>43</v>
      </c>
      <c r="AU1" s="4">
        <f t="shared" ref="AU1" si="4">AT1+1</f>
        <v>44</v>
      </c>
      <c r="AV1" s="4">
        <f t="shared" ref="AV1" si="5">AU1+1</f>
        <v>45</v>
      </c>
      <c r="AW1" s="4">
        <f t="shared" ref="AW1" si="6">AV1+1</f>
        <v>46</v>
      </c>
      <c r="AX1" s="4">
        <f t="shared" ref="AX1" si="7">AW1+1</f>
        <v>47</v>
      </c>
      <c r="AY1" s="4">
        <f t="shared" ref="AY1" si="8">AX1+1</f>
        <v>48</v>
      </c>
      <c r="AZ1" s="4">
        <f t="shared" ref="AZ1" si="9">AY1+1</f>
        <v>49</v>
      </c>
      <c r="BA1" s="4">
        <f t="shared" ref="BA1" si="10">AZ1+1</f>
        <v>50</v>
      </c>
      <c r="BB1" s="4">
        <f t="shared" ref="BB1:BC1" si="11">BA1+1</f>
        <v>51</v>
      </c>
      <c r="BC1" s="4">
        <f t="shared" si="11"/>
        <v>52</v>
      </c>
    </row>
    <row r="2" spans="1:55" s="78" customFormat="1" ht="17" x14ac:dyDescent="0.2">
      <c r="A2" s="73"/>
      <c r="B2" s="73"/>
      <c r="C2" s="73" t="s">
        <v>281</v>
      </c>
      <c r="D2" s="73">
        <f>SUM(D3:D38)</f>
        <v>317</v>
      </c>
      <c r="E2" s="73">
        <f t="shared" ref="E2:BC2" si="12">SUM(E3:E38)</f>
        <v>266</v>
      </c>
      <c r="F2" s="73">
        <f t="shared" si="12"/>
        <v>0</v>
      </c>
      <c r="G2" s="73">
        <f t="shared" si="12"/>
        <v>0</v>
      </c>
      <c r="H2" s="73">
        <f t="shared" si="12"/>
        <v>0</v>
      </c>
      <c r="I2" s="73">
        <f t="shared" si="12"/>
        <v>0</v>
      </c>
      <c r="J2" s="73">
        <f t="shared" si="12"/>
        <v>0</v>
      </c>
      <c r="K2" s="73">
        <f t="shared" si="12"/>
        <v>0</v>
      </c>
      <c r="L2" s="73">
        <f t="shared" si="12"/>
        <v>0</v>
      </c>
      <c r="M2" s="73">
        <f t="shared" si="12"/>
        <v>0</v>
      </c>
      <c r="N2" s="73">
        <f t="shared" si="12"/>
        <v>0</v>
      </c>
      <c r="O2" s="73">
        <f t="shared" si="12"/>
        <v>0</v>
      </c>
      <c r="P2" s="73">
        <f t="shared" si="12"/>
        <v>0</v>
      </c>
      <c r="Q2" s="73">
        <f t="shared" si="12"/>
        <v>0</v>
      </c>
      <c r="R2" s="73">
        <f t="shared" si="12"/>
        <v>0</v>
      </c>
      <c r="S2" s="73">
        <f t="shared" si="12"/>
        <v>0</v>
      </c>
      <c r="T2" s="73">
        <f t="shared" si="12"/>
        <v>0</v>
      </c>
      <c r="U2" s="73">
        <f t="shared" si="12"/>
        <v>0</v>
      </c>
      <c r="V2" s="73">
        <f t="shared" si="12"/>
        <v>0</v>
      </c>
      <c r="W2" s="73">
        <f t="shared" si="12"/>
        <v>0</v>
      </c>
      <c r="X2" s="73">
        <f t="shared" si="12"/>
        <v>0</v>
      </c>
      <c r="Y2" s="73">
        <f t="shared" si="12"/>
        <v>0</v>
      </c>
      <c r="Z2" s="73">
        <f t="shared" si="12"/>
        <v>0</v>
      </c>
      <c r="AA2" s="73">
        <f t="shared" si="12"/>
        <v>0</v>
      </c>
      <c r="AB2" s="73">
        <f t="shared" si="12"/>
        <v>0</v>
      </c>
      <c r="AC2" s="73">
        <f t="shared" si="12"/>
        <v>0</v>
      </c>
      <c r="AD2" s="73">
        <f t="shared" si="12"/>
        <v>0</v>
      </c>
      <c r="AE2" s="73">
        <f t="shared" si="12"/>
        <v>0</v>
      </c>
      <c r="AF2" s="73">
        <f t="shared" si="12"/>
        <v>0</v>
      </c>
      <c r="AG2" s="73">
        <f t="shared" si="12"/>
        <v>0</v>
      </c>
      <c r="AH2" s="73">
        <f t="shared" si="12"/>
        <v>0</v>
      </c>
      <c r="AI2" s="73">
        <f t="shared" si="12"/>
        <v>0</v>
      </c>
      <c r="AJ2" s="73">
        <f t="shared" si="12"/>
        <v>0</v>
      </c>
      <c r="AK2" s="73">
        <f t="shared" si="12"/>
        <v>0</v>
      </c>
      <c r="AL2" s="73">
        <f t="shared" si="12"/>
        <v>0</v>
      </c>
      <c r="AM2" s="73">
        <f t="shared" si="12"/>
        <v>0</v>
      </c>
      <c r="AN2" s="73">
        <f t="shared" si="12"/>
        <v>0</v>
      </c>
      <c r="AO2" s="73">
        <f t="shared" si="12"/>
        <v>0</v>
      </c>
      <c r="AP2" s="73">
        <f t="shared" si="12"/>
        <v>0</v>
      </c>
      <c r="AQ2" s="73">
        <f t="shared" si="12"/>
        <v>0</v>
      </c>
      <c r="AR2" s="73">
        <f t="shared" si="12"/>
        <v>0</v>
      </c>
      <c r="AS2" s="73">
        <f t="shared" si="12"/>
        <v>0</v>
      </c>
      <c r="AT2" s="73">
        <f t="shared" si="12"/>
        <v>0</v>
      </c>
      <c r="AU2" s="73">
        <f t="shared" si="12"/>
        <v>0</v>
      </c>
      <c r="AV2" s="73">
        <f t="shared" si="12"/>
        <v>0</v>
      </c>
      <c r="AW2" s="73">
        <f t="shared" si="12"/>
        <v>0</v>
      </c>
      <c r="AX2" s="73">
        <f t="shared" si="12"/>
        <v>0</v>
      </c>
      <c r="AY2" s="73">
        <f t="shared" si="12"/>
        <v>0</v>
      </c>
      <c r="AZ2" s="73">
        <f t="shared" si="12"/>
        <v>0</v>
      </c>
      <c r="BA2" s="73">
        <f t="shared" si="12"/>
        <v>0</v>
      </c>
      <c r="BB2" s="73">
        <f t="shared" si="12"/>
        <v>0</v>
      </c>
      <c r="BC2" s="73">
        <f t="shared" si="12"/>
        <v>0</v>
      </c>
    </row>
    <row r="3" spans="1:55" x14ac:dyDescent="0.2">
      <c r="A3" s="2" t="s">
        <v>118</v>
      </c>
      <c r="B3" s="2" t="s">
        <v>116</v>
      </c>
      <c r="C3" s="79"/>
      <c r="D3" s="79">
        <v>6</v>
      </c>
      <c r="E3" s="79">
        <v>5</v>
      </c>
      <c r="F3" s="79"/>
      <c r="G3" s="79"/>
      <c r="H3" s="79"/>
      <c r="I3" s="79"/>
      <c r="J3" s="79"/>
      <c r="K3" s="79"/>
      <c r="L3" s="79"/>
      <c r="M3" s="79"/>
      <c r="N3" s="79"/>
      <c r="O3" s="79"/>
      <c r="P3" s="79"/>
      <c r="Q3" s="79"/>
      <c r="R3" s="79"/>
      <c r="S3" s="79"/>
      <c r="T3" s="79"/>
      <c r="U3" s="79"/>
      <c r="V3" s="79"/>
      <c r="W3" s="79"/>
      <c r="X3" s="79"/>
      <c r="Y3" s="79"/>
      <c r="Z3" s="79"/>
      <c r="AA3" s="79"/>
      <c r="AB3" s="79"/>
      <c r="AC3" s="79"/>
      <c r="AD3" s="79"/>
      <c r="AE3" s="79"/>
      <c r="AF3" s="79"/>
      <c r="AG3" s="79"/>
      <c r="AH3" s="79"/>
      <c r="AI3" s="79"/>
      <c r="AJ3" s="79"/>
      <c r="AK3" s="79"/>
      <c r="AL3" s="79"/>
      <c r="AM3" s="79"/>
      <c r="AN3" s="79"/>
      <c r="AO3" s="79"/>
      <c r="AP3" s="79"/>
      <c r="AQ3" s="79"/>
      <c r="AR3" s="79"/>
      <c r="AS3" s="79"/>
      <c r="AT3" s="79"/>
      <c r="AU3" s="79"/>
      <c r="AV3" s="79"/>
      <c r="AW3" s="79"/>
      <c r="AX3" s="79"/>
      <c r="AY3" s="79"/>
      <c r="AZ3" s="79"/>
      <c r="BA3" s="79"/>
      <c r="BB3" s="79"/>
      <c r="BC3" s="79"/>
    </row>
    <row r="4" spans="1:55" x14ac:dyDescent="0.2">
      <c r="A4" s="2" t="s">
        <v>118</v>
      </c>
      <c r="B4" s="2" t="s">
        <v>120</v>
      </c>
      <c r="C4" s="2"/>
      <c r="D4" s="2">
        <v>17</v>
      </c>
      <c r="E4" s="79">
        <v>15</v>
      </c>
      <c r="F4" s="79"/>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row>
    <row r="5" spans="1:55" x14ac:dyDescent="0.2">
      <c r="A5" s="2" t="s">
        <v>118</v>
      </c>
      <c r="B5" s="2" t="s">
        <v>126</v>
      </c>
      <c r="C5" s="2"/>
      <c r="D5" s="2">
        <v>13</v>
      </c>
      <c r="E5" s="79">
        <v>11</v>
      </c>
      <c r="F5" s="79"/>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row>
    <row r="6" spans="1:55" x14ac:dyDescent="0.2">
      <c r="A6" s="2" t="s">
        <v>131</v>
      </c>
      <c r="B6" s="2" t="s">
        <v>125</v>
      </c>
      <c r="C6" s="2"/>
      <c r="D6" s="2">
        <v>30</v>
      </c>
      <c r="E6" s="79">
        <v>27</v>
      </c>
      <c r="F6" s="79"/>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row>
    <row r="7" spans="1:55" x14ac:dyDescent="0.2">
      <c r="A7" s="2" t="s">
        <v>131</v>
      </c>
      <c r="B7" s="2" t="s">
        <v>122</v>
      </c>
      <c r="C7" s="2"/>
      <c r="D7" s="2">
        <v>12</v>
      </c>
      <c r="E7" s="79">
        <v>10</v>
      </c>
      <c r="F7" s="79"/>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row>
    <row r="8" spans="1:55" x14ac:dyDescent="0.2">
      <c r="A8" s="2" t="s">
        <v>131</v>
      </c>
      <c r="B8" s="2" t="s">
        <v>380</v>
      </c>
      <c r="C8" s="2"/>
      <c r="D8" s="2">
        <v>6</v>
      </c>
      <c r="E8" s="79">
        <v>5</v>
      </c>
      <c r="F8" s="79"/>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row>
    <row r="9" spans="1:55" x14ac:dyDescent="0.2">
      <c r="A9" s="2" t="s">
        <v>131</v>
      </c>
      <c r="B9" s="2" t="s">
        <v>121</v>
      </c>
      <c r="C9" s="2"/>
      <c r="D9" s="2">
        <v>22</v>
      </c>
      <c r="E9" s="79">
        <v>19</v>
      </c>
      <c r="F9" s="79"/>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row>
    <row r="10" spans="1:55" x14ac:dyDescent="0.2">
      <c r="A10" s="2" t="s">
        <v>131</v>
      </c>
      <c r="B10" s="2" t="s">
        <v>123</v>
      </c>
      <c r="C10" s="2"/>
      <c r="D10" s="2">
        <v>3</v>
      </c>
      <c r="E10" s="79">
        <v>2</v>
      </c>
      <c r="F10" s="79"/>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row>
    <row r="11" spans="1:55" x14ac:dyDescent="0.2">
      <c r="A11" s="2" t="s">
        <v>131</v>
      </c>
      <c r="B11" s="2" t="s">
        <v>124</v>
      </c>
      <c r="C11" s="2"/>
      <c r="D11" s="2">
        <v>2</v>
      </c>
      <c r="E11" s="79">
        <v>1</v>
      </c>
      <c r="F11" s="79"/>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row>
    <row r="12" spans="1:55" x14ac:dyDescent="0.2">
      <c r="A12" s="2" t="s">
        <v>155</v>
      </c>
      <c r="B12" s="2" t="s">
        <v>142</v>
      </c>
      <c r="C12" s="2"/>
      <c r="D12" s="2">
        <v>2</v>
      </c>
      <c r="E12" s="79">
        <v>1</v>
      </c>
      <c r="F12" s="79"/>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row>
    <row r="13" spans="1:55" x14ac:dyDescent="0.2">
      <c r="A13" s="2" t="s">
        <v>155</v>
      </c>
      <c r="B13" s="2" t="s">
        <v>143</v>
      </c>
      <c r="C13" s="2"/>
      <c r="D13" s="2">
        <v>3</v>
      </c>
      <c r="E13" s="79">
        <v>2</v>
      </c>
      <c r="F13" s="79"/>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row>
    <row r="14" spans="1:55" x14ac:dyDescent="0.2">
      <c r="A14" s="2" t="s">
        <v>155</v>
      </c>
      <c r="B14" s="2" t="s">
        <v>141</v>
      </c>
      <c r="C14" s="2"/>
      <c r="D14" s="2">
        <v>13</v>
      </c>
      <c r="E14" s="79">
        <v>11</v>
      </c>
      <c r="F14" s="79"/>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row>
    <row r="15" spans="1:55" x14ac:dyDescent="0.2">
      <c r="A15" s="2" t="s">
        <v>156</v>
      </c>
      <c r="B15" s="2" t="s">
        <v>145</v>
      </c>
      <c r="C15" s="2"/>
      <c r="D15" s="2">
        <v>5</v>
      </c>
      <c r="E15" s="79">
        <v>4</v>
      </c>
      <c r="F15" s="79"/>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row>
    <row r="16" spans="1:55" x14ac:dyDescent="0.2">
      <c r="A16" s="2" t="s">
        <v>156</v>
      </c>
      <c r="B16" s="2" t="s">
        <v>146</v>
      </c>
      <c r="C16" s="2"/>
      <c r="D16" s="2">
        <v>13</v>
      </c>
      <c r="E16" s="79">
        <v>11</v>
      </c>
      <c r="F16" s="79"/>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row>
    <row r="17" spans="1:55" x14ac:dyDescent="0.2">
      <c r="A17" s="2" t="s">
        <v>156</v>
      </c>
      <c r="B17" s="2" t="s">
        <v>147</v>
      </c>
      <c r="C17" s="2"/>
      <c r="D17" s="2">
        <v>6</v>
      </c>
      <c r="E17" s="79">
        <v>5</v>
      </c>
      <c r="F17" s="79"/>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row>
    <row r="18" spans="1:55" x14ac:dyDescent="0.2">
      <c r="A18" s="2" t="s">
        <v>156</v>
      </c>
      <c r="B18" s="2" t="s">
        <v>148</v>
      </c>
      <c r="C18" s="2"/>
      <c r="D18" s="2">
        <v>8</v>
      </c>
      <c r="E18" s="79">
        <v>7</v>
      </c>
      <c r="F18" s="79"/>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row>
    <row r="19" spans="1:55" x14ac:dyDescent="0.2">
      <c r="A19" s="2" t="s">
        <v>156</v>
      </c>
      <c r="B19" s="2" t="s">
        <v>144</v>
      </c>
      <c r="C19" s="2"/>
      <c r="D19" s="2">
        <v>13</v>
      </c>
      <c r="E19" s="79">
        <v>11</v>
      </c>
      <c r="F19" s="79"/>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row>
    <row r="20" spans="1:55" x14ac:dyDescent="0.2">
      <c r="A20" s="2" t="s">
        <v>154</v>
      </c>
      <c r="B20" s="2" t="s">
        <v>158</v>
      </c>
      <c r="C20" s="2"/>
      <c r="D20" s="2">
        <v>3</v>
      </c>
      <c r="E20" s="79">
        <v>2</v>
      </c>
      <c r="F20" s="79"/>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row>
    <row r="21" spans="1:55" x14ac:dyDescent="0.2">
      <c r="A21" s="2" t="s">
        <v>154</v>
      </c>
      <c r="B21" s="2" t="s">
        <v>157</v>
      </c>
      <c r="C21" s="2"/>
      <c r="D21" s="2">
        <v>8</v>
      </c>
      <c r="E21" s="79">
        <v>7</v>
      </c>
      <c r="F21" s="79"/>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row>
    <row r="22" spans="1:55" x14ac:dyDescent="0.2">
      <c r="A22" s="2" t="s">
        <v>154</v>
      </c>
      <c r="B22" s="2" t="s">
        <v>160</v>
      </c>
      <c r="C22" s="2"/>
      <c r="D22" s="2">
        <v>11</v>
      </c>
      <c r="E22" s="79">
        <v>9</v>
      </c>
      <c r="F22" s="79"/>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row>
    <row r="23" spans="1:55" x14ac:dyDescent="0.2">
      <c r="A23" s="2" t="s">
        <v>154</v>
      </c>
      <c r="B23" s="2" t="s">
        <v>159</v>
      </c>
      <c r="C23" s="2"/>
      <c r="D23" s="2">
        <v>7</v>
      </c>
      <c r="E23" s="79">
        <v>6</v>
      </c>
      <c r="F23" s="79"/>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row>
    <row r="24" spans="1:55" x14ac:dyDescent="0.2">
      <c r="A24" s="2" t="s">
        <v>154</v>
      </c>
      <c r="B24" s="2" t="s">
        <v>161</v>
      </c>
      <c r="C24" s="2"/>
      <c r="D24" s="2">
        <v>14</v>
      </c>
      <c r="E24" s="79">
        <v>12</v>
      </c>
      <c r="F24" s="79"/>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row>
    <row r="25" spans="1:55" x14ac:dyDescent="0.2">
      <c r="A25" s="2" t="s">
        <v>154</v>
      </c>
      <c r="B25" s="2" t="s">
        <v>401</v>
      </c>
      <c r="C25" s="2"/>
      <c r="D25" s="2">
        <v>6</v>
      </c>
      <c r="E25" s="79">
        <v>5</v>
      </c>
      <c r="F25" s="79"/>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row>
    <row r="26" spans="1:55" x14ac:dyDescent="0.2">
      <c r="A26" s="2" t="s">
        <v>154</v>
      </c>
      <c r="B26" s="2" t="s">
        <v>140</v>
      </c>
      <c r="C26" s="2"/>
      <c r="D26" s="2">
        <v>8</v>
      </c>
      <c r="E26" s="79">
        <v>7</v>
      </c>
      <c r="F26" s="79"/>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row>
    <row r="27" spans="1:55" x14ac:dyDescent="0.2">
      <c r="A27" s="2" t="s">
        <v>114</v>
      </c>
      <c r="B27" s="2" t="s">
        <v>95</v>
      </c>
      <c r="C27" s="2"/>
      <c r="D27" s="2">
        <v>14</v>
      </c>
      <c r="E27" s="79">
        <v>12</v>
      </c>
      <c r="F27" s="79"/>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row>
    <row r="28" spans="1:55" x14ac:dyDescent="0.2">
      <c r="A28" s="2" t="s">
        <v>114</v>
      </c>
      <c r="B28" s="2" t="s">
        <v>91</v>
      </c>
      <c r="C28" s="2"/>
      <c r="D28" s="2">
        <v>3</v>
      </c>
      <c r="E28" s="79">
        <v>2</v>
      </c>
      <c r="F28" s="79"/>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row>
    <row r="29" spans="1:55" x14ac:dyDescent="0.2">
      <c r="A29" s="2" t="s">
        <v>114</v>
      </c>
      <c r="B29" s="2" t="s">
        <v>108</v>
      </c>
      <c r="C29" s="2"/>
      <c r="D29" s="2">
        <v>1</v>
      </c>
      <c r="E29" s="79">
        <v>0</v>
      </c>
      <c r="F29" s="79"/>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row>
    <row r="30" spans="1:55" x14ac:dyDescent="0.2">
      <c r="A30" s="2" t="s">
        <v>114</v>
      </c>
      <c r="B30" s="2" t="s">
        <v>87</v>
      </c>
      <c r="C30" s="2"/>
      <c r="D30" s="2">
        <v>17</v>
      </c>
      <c r="E30" s="79">
        <v>15</v>
      </c>
      <c r="F30" s="79"/>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row>
    <row r="31" spans="1:55" x14ac:dyDescent="0.2">
      <c r="A31" s="2" t="s">
        <v>114</v>
      </c>
      <c r="B31" s="2" t="s">
        <v>107</v>
      </c>
      <c r="C31" s="2"/>
      <c r="D31" s="2">
        <v>11</v>
      </c>
      <c r="E31" s="79">
        <v>9</v>
      </c>
      <c r="F31" s="79"/>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row>
    <row r="32" spans="1:55" x14ac:dyDescent="0.2">
      <c r="A32" s="2" t="s">
        <v>114</v>
      </c>
      <c r="B32" s="2" t="s">
        <v>92</v>
      </c>
      <c r="C32" s="2"/>
      <c r="D32" s="2">
        <v>6</v>
      </c>
      <c r="E32" s="79">
        <v>5</v>
      </c>
      <c r="F32" s="79"/>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row>
    <row r="33" spans="1:55" x14ac:dyDescent="0.2">
      <c r="A33" s="2" t="s">
        <v>114</v>
      </c>
      <c r="B33" s="2" t="s">
        <v>94</v>
      </c>
      <c r="C33" s="2"/>
      <c r="D33" s="2">
        <v>8</v>
      </c>
      <c r="E33" s="79">
        <v>7</v>
      </c>
      <c r="F33" s="79"/>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row>
    <row r="34" spans="1:55" x14ac:dyDescent="0.2">
      <c r="A34" s="2" t="s">
        <v>114</v>
      </c>
      <c r="B34" s="2" t="s">
        <v>99</v>
      </c>
      <c r="C34" s="2"/>
      <c r="D34" s="2">
        <v>6</v>
      </c>
      <c r="E34" s="79">
        <v>5</v>
      </c>
      <c r="F34" s="79"/>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row>
    <row r="35" spans="1:55" x14ac:dyDescent="0.2">
      <c r="A35" s="2" t="s">
        <v>153</v>
      </c>
      <c r="B35" s="2" t="s">
        <v>150</v>
      </c>
      <c r="C35" s="2"/>
      <c r="D35" s="2">
        <v>6</v>
      </c>
      <c r="E35" s="79">
        <v>5</v>
      </c>
      <c r="F35" s="79"/>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row>
    <row r="36" spans="1:55" x14ac:dyDescent="0.2">
      <c r="A36" s="2" t="s">
        <v>153</v>
      </c>
      <c r="B36" s="2" t="s">
        <v>151</v>
      </c>
      <c r="C36" s="2"/>
      <c r="D36" s="2">
        <v>5</v>
      </c>
      <c r="E36" s="79">
        <v>4</v>
      </c>
      <c r="F36" s="79"/>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row>
    <row r="37" spans="1:55" x14ac:dyDescent="0.2">
      <c r="A37" s="2" t="s">
        <v>153</v>
      </c>
      <c r="B37" s="2" t="s">
        <v>149</v>
      </c>
      <c r="C37" s="2"/>
      <c r="D37" s="2">
        <v>5</v>
      </c>
      <c r="E37" s="79">
        <v>4</v>
      </c>
      <c r="F37" s="79"/>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row>
    <row r="38" spans="1:55" x14ac:dyDescent="0.2">
      <c r="A38" s="2" t="s">
        <v>153</v>
      </c>
      <c r="B38" s="2" t="s">
        <v>56</v>
      </c>
      <c r="C38" s="2"/>
      <c r="D38" s="2">
        <v>4</v>
      </c>
      <c r="E38" s="79">
        <v>3</v>
      </c>
      <c r="F38" s="79"/>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row>
    <row r="39" spans="1:55" x14ac:dyDescent="0.2">
      <c r="A39" s="2" t="s">
        <v>153</v>
      </c>
      <c r="B39" s="2" t="s">
        <v>152</v>
      </c>
    </row>
    <row r="40" spans="1:55" x14ac:dyDescent="0.2">
      <c r="A40" s="70"/>
      <c r="B40" s="70"/>
    </row>
    <row r="41" spans="1:55" x14ac:dyDescent="0.2">
      <c r="A41" s="70"/>
      <c r="B41" s="70"/>
    </row>
    <row r="42" spans="1:55" x14ac:dyDescent="0.2">
      <c r="A42" s="70"/>
      <c r="B42" s="70"/>
      <c r="D42" s="133"/>
      <c r="E42" s="133"/>
      <c r="F42" s="133"/>
      <c r="G42" s="133"/>
    </row>
    <row r="43" spans="1:55" x14ac:dyDescent="0.2">
      <c r="A43" s="70"/>
      <c r="B43" s="70"/>
      <c r="C43" s="133">
        <v>45691</v>
      </c>
      <c r="D43">
        <v>200</v>
      </c>
      <c r="E43">
        <v>50</v>
      </c>
    </row>
    <row r="44" spans="1:55" x14ac:dyDescent="0.2">
      <c r="A44" s="70"/>
      <c r="B44" s="70"/>
      <c r="C44" s="133">
        <f>C43+1</f>
        <v>45692</v>
      </c>
    </row>
    <row r="45" spans="1:55" x14ac:dyDescent="0.2">
      <c r="A45" s="70"/>
      <c r="B45" s="70"/>
      <c r="C45" s="133">
        <f t="shared" ref="C45:C108" si="13">C44+1</f>
        <v>45693</v>
      </c>
    </row>
    <row r="46" spans="1:55" x14ac:dyDescent="0.2">
      <c r="A46" s="70"/>
      <c r="B46" s="70"/>
      <c r="C46" s="133">
        <f t="shared" si="13"/>
        <v>45694</v>
      </c>
    </row>
    <row r="47" spans="1:55" x14ac:dyDescent="0.2">
      <c r="C47" s="133">
        <f t="shared" si="13"/>
        <v>45695</v>
      </c>
    </row>
    <row r="48" spans="1:55" x14ac:dyDescent="0.2">
      <c r="C48" s="133">
        <f t="shared" si="13"/>
        <v>45696</v>
      </c>
    </row>
    <row r="49" spans="3:3" x14ac:dyDescent="0.2">
      <c r="C49" s="133">
        <f t="shared" si="13"/>
        <v>45697</v>
      </c>
    </row>
    <row r="50" spans="3:3" x14ac:dyDescent="0.2">
      <c r="C50" s="133">
        <f t="shared" si="13"/>
        <v>45698</v>
      </c>
    </row>
    <row r="51" spans="3:3" x14ac:dyDescent="0.2">
      <c r="C51" s="133">
        <f t="shared" si="13"/>
        <v>45699</v>
      </c>
    </row>
    <row r="52" spans="3:3" x14ac:dyDescent="0.2">
      <c r="C52" s="133">
        <f t="shared" si="13"/>
        <v>45700</v>
      </c>
    </row>
    <row r="53" spans="3:3" x14ac:dyDescent="0.2">
      <c r="C53" s="133">
        <f t="shared" si="13"/>
        <v>45701</v>
      </c>
    </row>
    <row r="54" spans="3:3" x14ac:dyDescent="0.2">
      <c r="C54" s="133">
        <f t="shared" si="13"/>
        <v>45702</v>
      </c>
    </row>
    <row r="55" spans="3:3" x14ac:dyDescent="0.2">
      <c r="C55" s="133">
        <f t="shared" si="13"/>
        <v>45703</v>
      </c>
    </row>
    <row r="56" spans="3:3" x14ac:dyDescent="0.2">
      <c r="C56" s="133">
        <f t="shared" si="13"/>
        <v>45704</v>
      </c>
    </row>
    <row r="57" spans="3:3" x14ac:dyDescent="0.2">
      <c r="C57" s="133">
        <f t="shared" si="13"/>
        <v>45705</v>
      </c>
    </row>
    <row r="58" spans="3:3" x14ac:dyDescent="0.2">
      <c r="C58" s="133">
        <f t="shared" si="13"/>
        <v>45706</v>
      </c>
    </row>
    <row r="59" spans="3:3" x14ac:dyDescent="0.2">
      <c r="C59" s="133">
        <f t="shared" si="13"/>
        <v>45707</v>
      </c>
    </row>
    <row r="60" spans="3:3" x14ac:dyDescent="0.2">
      <c r="C60" s="133">
        <f t="shared" si="13"/>
        <v>45708</v>
      </c>
    </row>
    <row r="61" spans="3:3" x14ac:dyDescent="0.2">
      <c r="C61" s="133">
        <f t="shared" si="13"/>
        <v>45709</v>
      </c>
    </row>
    <row r="62" spans="3:3" x14ac:dyDescent="0.2">
      <c r="C62" s="133">
        <f t="shared" si="13"/>
        <v>45710</v>
      </c>
    </row>
    <row r="63" spans="3:3" x14ac:dyDescent="0.2">
      <c r="C63" s="133">
        <f t="shared" si="13"/>
        <v>45711</v>
      </c>
    </row>
    <row r="64" spans="3:3" x14ac:dyDescent="0.2">
      <c r="C64" s="133">
        <f t="shared" si="13"/>
        <v>45712</v>
      </c>
    </row>
    <row r="65" spans="3:3" x14ac:dyDescent="0.2">
      <c r="C65" s="133">
        <f t="shared" si="13"/>
        <v>45713</v>
      </c>
    </row>
    <row r="66" spans="3:3" x14ac:dyDescent="0.2">
      <c r="C66" s="133">
        <f t="shared" si="13"/>
        <v>45714</v>
      </c>
    </row>
    <row r="67" spans="3:3" x14ac:dyDescent="0.2">
      <c r="C67" s="133">
        <f t="shared" si="13"/>
        <v>45715</v>
      </c>
    </row>
    <row r="68" spans="3:3" x14ac:dyDescent="0.2">
      <c r="C68" s="133">
        <f t="shared" si="13"/>
        <v>45716</v>
      </c>
    </row>
    <row r="69" spans="3:3" x14ac:dyDescent="0.2">
      <c r="C69" s="133">
        <f t="shared" si="13"/>
        <v>45717</v>
      </c>
    </row>
    <row r="70" spans="3:3" x14ac:dyDescent="0.2">
      <c r="C70" s="133">
        <f t="shared" si="13"/>
        <v>45718</v>
      </c>
    </row>
    <row r="71" spans="3:3" x14ac:dyDescent="0.2">
      <c r="C71" s="133">
        <f t="shared" si="13"/>
        <v>45719</v>
      </c>
    </row>
    <row r="72" spans="3:3" x14ac:dyDescent="0.2">
      <c r="C72" s="133">
        <f t="shared" si="13"/>
        <v>45720</v>
      </c>
    </row>
    <row r="73" spans="3:3" x14ac:dyDescent="0.2">
      <c r="C73" s="133">
        <f t="shared" si="13"/>
        <v>45721</v>
      </c>
    </row>
    <row r="74" spans="3:3" x14ac:dyDescent="0.2">
      <c r="C74" s="133">
        <f t="shared" si="13"/>
        <v>45722</v>
      </c>
    </row>
    <row r="75" spans="3:3" x14ac:dyDescent="0.2">
      <c r="C75" s="133">
        <f t="shared" si="13"/>
        <v>45723</v>
      </c>
    </row>
    <row r="76" spans="3:3" x14ac:dyDescent="0.2">
      <c r="C76" s="133">
        <f t="shared" si="13"/>
        <v>45724</v>
      </c>
    </row>
    <row r="77" spans="3:3" x14ac:dyDescent="0.2">
      <c r="C77" s="133">
        <f t="shared" si="13"/>
        <v>45725</v>
      </c>
    </row>
    <row r="78" spans="3:3" x14ac:dyDescent="0.2">
      <c r="C78" s="133">
        <f t="shared" si="13"/>
        <v>45726</v>
      </c>
    </row>
    <row r="79" spans="3:3" x14ac:dyDescent="0.2">
      <c r="C79" s="133">
        <f t="shared" si="13"/>
        <v>45727</v>
      </c>
    </row>
    <row r="80" spans="3:3" x14ac:dyDescent="0.2">
      <c r="C80" s="133">
        <f t="shared" si="13"/>
        <v>45728</v>
      </c>
    </row>
    <row r="81" spans="3:3" x14ac:dyDescent="0.2">
      <c r="C81" s="133">
        <f t="shared" si="13"/>
        <v>45729</v>
      </c>
    </row>
    <row r="82" spans="3:3" x14ac:dyDescent="0.2">
      <c r="C82" s="133">
        <f t="shared" si="13"/>
        <v>45730</v>
      </c>
    </row>
    <row r="83" spans="3:3" x14ac:dyDescent="0.2">
      <c r="C83" s="133">
        <f t="shared" si="13"/>
        <v>45731</v>
      </c>
    </row>
    <row r="84" spans="3:3" x14ac:dyDescent="0.2">
      <c r="C84" s="133">
        <f t="shared" si="13"/>
        <v>45732</v>
      </c>
    </row>
    <row r="85" spans="3:3" x14ac:dyDescent="0.2">
      <c r="C85" s="133">
        <f t="shared" si="13"/>
        <v>45733</v>
      </c>
    </row>
    <row r="86" spans="3:3" x14ac:dyDescent="0.2">
      <c r="C86" s="133">
        <f t="shared" si="13"/>
        <v>45734</v>
      </c>
    </row>
    <row r="87" spans="3:3" x14ac:dyDescent="0.2">
      <c r="C87" s="133">
        <f t="shared" si="13"/>
        <v>45735</v>
      </c>
    </row>
    <row r="88" spans="3:3" x14ac:dyDescent="0.2">
      <c r="C88" s="133">
        <f t="shared" si="13"/>
        <v>45736</v>
      </c>
    </row>
    <row r="89" spans="3:3" x14ac:dyDescent="0.2">
      <c r="C89" s="133">
        <f t="shared" si="13"/>
        <v>45737</v>
      </c>
    </row>
    <row r="90" spans="3:3" x14ac:dyDescent="0.2">
      <c r="C90" s="133">
        <f t="shared" si="13"/>
        <v>45738</v>
      </c>
    </row>
    <row r="91" spans="3:3" x14ac:dyDescent="0.2">
      <c r="C91" s="133">
        <f t="shared" si="13"/>
        <v>45739</v>
      </c>
    </row>
    <row r="92" spans="3:3" x14ac:dyDescent="0.2">
      <c r="C92" s="133">
        <f t="shared" si="13"/>
        <v>45740</v>
      </c>
    </row>
    <row r="93" spans="3:3" x14ac:dyDescent="0.2">
      <c r="C93" s="133">
        <f t="shared" si="13"/>
        <v>45741</v>
      </c>
    </row>
    <row r="94" spans="3:3" x14ac:dyDescent="0.2">
      <c r="C94" s="133">
        <f t="shared" si="13"/>
        <v>45742</v>
      </c>
    </row>
    <row r="95" spans="3:3" x14ac:dyDescent="0.2">
      <c r="C95" s="133">
        <f t="shared" si="13"/>
        <v>45743</v>
      </c>
    </row>
    <row r="96" spans="3:3" x14ac:dyDescent="0.2">
      <c r="C96" s="133">
        <f t="shared" si="13"/>
        <v>45744</v>
      </c>
    </row>
    <row r="97" spans="3:3" x14ac:dyDescent="0.2">
      <c r="C97" s="133">
        <f t="shared" si="13"/>
        <v>45745</v>
      </c>
    </row>
    <row r="98" spans="3:3" x14ac:dyDescent="0.2">
      <c r="C98" s="133">
        <f t="shared" si="13"/>
        <v>45746</v>
      </c>
    </row>
    <row r="99" spans="3:3" x14ac:dyDescent="0.2">
      <c r="C99" s="133">
        <f t="shared" si="13"/>
        <v>45747</v>
      </c>
    </row>
    <row r="100" spans="3:3" x14ac:dyDescent="0.2">
      <c r="C100" s="133">
        <f t="shared" si="13"/>
        <v>45748</v>
      </c>
    </row>
    <row r="101" spans="3:3" x14ac:dyDescent="0.2">
      <c r="C101" s="133">
        <f t="shared" si="13"/>
        <v>45749</v>
      </c>
    </row>
    <row r="102" spans="3:3" x14ac:dyDescent="0.2">
      <c r="C102" s="133">
        <f t="shared" si="13"/>
        <v>45750</v>
      </c>
    </row>
    <row r="103" spans="3:3" x14ac:dyDescent="0.2">
      <c r="C103" s="133">
        <f t="shared" si="13"/>
        <v>45751</v>
      </c>
    </row>
    <row r="104" spans="3:3" x14ac:dyDescent="0.2">
      <c r="C104" s="133">
        <f t="shared" si="13"/>
        <v>45752</v>
      </c>
    </row>
    <row r="105" spans="3:3" x14ac:dyDescent="0.2">
      <c r="C105" s="133">
        <f t="shared" si="13"/>
        <v>45753</v>
      </c>
    </row>
    <row r="106" spans="3:3" x14ac:dyDescent="0.2">
      <c r="C106" s="133">
        <f t="shared" si="13"/>
        <v>45754</v>
      </c>
    </row>
    <row r="107" spans="3:3" x14ac:dyDescent="0.2">
      <c r="C107" s="133">
        <f t="shared" si="13"/>
        <v>45755</v>
      </c>
    </row>
    <row r="108" spans="3:3" x14ac:dyDescent="0.2">
      <c r="C108" s="133">
        <f t="shared" si="13"/>
        <v>45756</v>
      </c>
    </row>
    <row r="109" spans="3:3" x14ac:dyDescent="0.2">
      <c r="C109" s="133">
        <f t="shared" ref="C109:C159" si="14">C108+1</f>
        <v>45757</v>
      </c>
    </row>
    <row r="110" spans="3:3" x14ac:dyDescent="0.2">
      <c r="C110" s="133">
        <f t="shared" si="14"/>
        <v>45758</v>
      </c>
    </row>
    <row r="111" spans="3:3" x14ac:dyDescent="0.2">
      <c r="C111" s="133">
        <f t="shared" si="14"/>
        <v>45759</v>
      </c>
    </row>
    <row r="112" spans="3:3" x14ac:dyDescent="0.2">
      <c r="C112" s="133">
        <f t="shared" si="14"/>
        <v>45760</v>
      </c>
    </row>
    <row r="113" spans="3:3" x14ac:dyDescent="0.2">
      <c r="C113" s="133">
        <f t="shared" si="14"/>
        <v>45761</v>
      </c>
    </row>
    <row r="114" spans="3:3" x14ac:dyDescent="0.2">
      <c r="C114" s="133">
        <f t="shared" si="14"/>
        <v>45762</v>
      </c>
    </row>
    <row r="115" spans="3:3" x14ac:dyDescent="0.2">
      <c r="C115" s="133">
        <f t="shared" si="14"/>
        <v>45763</v>
      </c>
    </row>
    <row r="116" spans="3:3" x14ac:dyDescent="0.2">
      <c r="C116" s="133">
        <f t="shared" si="14"/>
        <v>45764</v>
      </c>
    </row>
    <row r="117" spans="3:3" x14ac:dyDescent="0.2">
      <c r="C117" s="133">
        <f t="shared" si="14"/>
        <v>45765</v>
      </c>
    </row>
    <row r="118" spans="3:3" x14ac:dyDescent="0.2">
      <c r="C118" s="133">
        <f t="shared" si="14"/>
        <v>45766</v>
      </c>
    </row>
    <row r="119" spans="3:3" x14ac:dyDescent="0.2">
      <c r="C119" s="133">
        <f t="shared" si="14"/>
        <v>45767</v>
      </c>
    </row>
    <row r="120" spans="3:3" x14ac:dyDescent="0.2">
      <c r="C120" s="133">
        <f t="shared" si="14"/>
        <v>45768</v>
      </c>
    </row>
    <row r="121" spans="3:3" x14ac:dyDescent="0.2">
      <c r="C121" s="133">
        <f t="shared" si="14"/>
        <v>45769</v>
      </c>
    </row>
    <row r="122" spans="3:3" x14ac:dyDescent="0.2">
      <c r="C122" s="133">
        <f t="shared" si="14"/>
        <v>45770</v>
      </c>
    </row>
    <row r="123" spans="3:3" x14ac:dyDescent="0.2">
      <c r="C123" s="133">
        <f t="shared" si="14"/>
        <v>45771</v>
      </c>
    </row>
    <row r="124" spans="3:3" x14ac:dyDescent="0.2">
      <c r="C124" s="133">
        <f t="shared" si="14"/>
        <v>45772</v>
      </c>
    </row>
    <row r="125" spans="3:3" x14ac:dyDescent="0.2">
      <c r="C125" s="133">
        <f t="shared" si="14"/>
        <v>45773</v>
      </c>
    </row>
    <row r="126" spans="3:3" x14ac:dyDescent="0.2">
      <c r="C126" s="133">
        <f t="shared" si="14"/>
        <v>45774</v>
      </c>
    </row>
    <row r="127" spans="3:3" x14ac:dyDescent="0.2">
      <c r="C127" s="133">
        <f t="shared" si="14"/>
        <v>45775</v>
      </c>
    </row>
    <row r="128" spans="3:3" x14ac:dyDescent="0.2">
      <c r="C128" s="133">
        <f t="shared" si="14"/>
        <v>45776</v>
      </c>
    </row>
    <row r="129" spans="3:3" x14ac:dyDescent="0.2">
      <c r="C129" s="133">
        <f t="shared" si="14"/>
        <v>45777</v>
      </c>
    </row>
    <row r="130" spans="3:3" x14ac:dyDescent="0.2">
      <c r="C130" s="133">
        <f t="shared" si="14"/>
        <v>45778</v>
      </c>
    </row>
    <row r="131" spans="3:3" x14ac:dyDescent="0.2">
      <c r="C131" s="133">
        <f t="shared" si="14"/>
        <v>45779</v>
      </c>
    </row>
    <row r="132" spans="3:3" x14ac:dyDescent="0.2">
      <c r="C132" s="133">
        <f t="shared" si="14"/>
        <v>45780</v>
      </c>
    </row>
    <row r="133" spans="3:3" x14ac:dyDescent="0.2">
      <c r="C133" s="133">
        <f t="shared" si="14"/>
        <v>45781</v>
      </c>
    </row>
    <row r="134" spans="3:3" x14ac:dyDescent="0.2">
      <c r="C134" s="133">
        <f t="shared" si="14"/>
        <v>45782</v>
      </c>
    </row>
    <row r="135" spans="3:3" x14ac:dyDescent="0.2">
      <c r="C135" s="133">
        <f t="shared" si="14"/>
        <v>45783</v>
      </c>
    </row>
    <row r="136" spans="3:3" x14ac:dyDescent="0.2">
      <c r="C136" s="133">
        <f t="shared" si="14"/>
        <v>45784</v>
      </c>
    </row>
    <row r="137" spans="3:3" x14ac:dyDescent="0.2">
      <c r="C137" s="133">
        <f t="shared" si="14"/>
        <v>45785</v>
      </c>
    </row>
    <row r="138" spans="3:3" x14ac:dyDescent="0.2">
      <c r="C138" s="133">
        <f t="shared" si="14"/>
        <v>45786</v>
      </c>
    </row>
    <row r="139" spans="3:3" x14ac:dyDescent="0.2">
      <c r="C139" s="133">
        <f t="shared" si="14"/>
        <v>45787</v>
      </c>
    </row>
    <row r="140" spans="3:3" x14ac:dyDescent="0.2">
      <c r="C140" s="133">
        <f t="shared" si="14"/>
        <v>45788</v>
      </c>
    </row>
    <row r="141" spans="3:3" x14ac:dyDescent="0.2">
      <c r="C141" s="133">
        <f t="shared" si="14"/>
        <v>45789</v>
      </c>
    </row>
    <row r="142" spans="3:3" x14ac:dyDescent="0.2">
      <c r="C142" s="133">
        <f t="shared" si="14"/>
        <v>45790</v>
      </c>
    </row>
    <row r="143" spans="3:3" x14ac:dyDescent="0.2">
      <c r="C143" s="133">
        <f t="shared" si="14"/>
        <v>45791</v>
      </c>
    </row>
    <row r="144" spans="3:3" x14ac:dyDescent="0.2">
      <c r="C144" s="133">
        <f t="shared" si="14"/>
        <v>45792</v>
      </c>
    </row>
    <row r="145" spans="3:3" x14ac:dyDescent="0.2">
      <c r="C145" s="133">
        <f t="shared" si="14"/>
        <v>45793</v>
      </c>
    </row>
    <row r="146" spans="3:3" x14ac:dyDescent="0.2">
      <c r="C146" s="133">
        <f t="shared" si="14"/>
        <v>45794</v>
      </c>
    </row>
    <row r="147" spans="3:3" x14ac:dyDescent="0.2">
      <c r="C147" s="133">
        <f t="shared" si="14"/>
        <v>45795</v>
      </c>
    </row>
    <row r="148" spans="3:3" x14ac:dyDescent="0.2">
      <c r="C148" s="133">
        <f t="shared" si="14"/>
        <v>45796</v>
      </c>
    </row>
    <row r="149" spans="3:3" x14ac:dyDescent="0.2">
      <c r="C149" s="133">
        <f t="shared" si="14"/>
        <v>45797</v>
      </c>
    </row>
    <row r="150" spans="3:3" x14ac:dyDescent="0.2">
      <c r="C150" s="133">
        <f t="shared" si="14"/>
        <v>45798</v>
      </c>
    </row>
    <row r="151" spans="3:3" x14ac:dyDescent="0.2">
      <c r="C151" s="133">
        <f t="shared" si="14"/>
        <v>45799</v>
      </c>
    </row>
    <row r="152" spans="3:3" x14ac:dyDescent="0.2">
      <c r="C152" s="133">
        <f t="shared" si="14"/>
        <v>45800</v>
      </c>
    </row>
    <row r="153" spans="3:3" x14ac:dyDescent="0.2">
      <c r="C153" s="133">
        <f t="shared" si="14"/>
        <v>45801</v>
      </c>
    </row>
    <row r="154" spans="3:3" x14ac:dyDescent="0.2">
      <c r="C154" s="133">
        <f t="shared" si="14"/>
        <v>45802</v>
      </c>
    </row>
    <row r="155" spans="3:3" x14ac:dyDescent="0.2">
      <c r="C155" s="133">
        <f t="shared" si="14"/>
        <v>45803</v>
      </c>
    </row>
    <row r="156" spans="3:3" x14ac:dyDescent="0.2">
      <c r="C156" s="133">
        <f t="shared" si="14"/>
        <v>45804</v>
      </c>
    </row>
    <row r="157" spans="3:3" x14ac:dyDescent="0.2">
      <c r="C157" s="133">
        <f t="shared" si="14"/>
        <v>45805</v>
      </c>
    </row>
    <row r="158" spans="3:3" x14ac:dyDescent="0.2">
      <c r="C158" s="133">
        <f t="shared" si="14"/>
        <v>45806</v>
      </c>
    </row>
    <row r="159" spans="3:3" x14ac:dyDescent="0.2">
      <c r="C159" s="133">
        <f t="shared" si="14"/>
        <v>45807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0B9BC-757E-1947-9C3F-BF550BB0D648}">
  <sheetPr codeName="Feuil9"/>
  <dimension ref="A1:F307"/>
  <sheetViews>
    <sheetView workbookViewId="0">
      <selection activeCell="E53" sqref="E53"/>
    </sheetView>
  </sheetViews>
  <sheetFormatPr baseColWidth="10" defaultRowHeight="16" x14ac:dyDescent="0.2"/>
  <cols>
    <col min="1" max="1" width="66.5" bestFit="1" customWidth="1"/>
    <col min="2" max="2" width="10" customWidth="1"/>
    <col min="3" max="3" width="29.33203125" style="11" bestFit="1" customWidth="1"/>
    <col min="4" max="4" width="11.83203125" style="11" bestFit="1" customWidth="1"/>
    <col min="5" max="5" width="9.5" bestFit="1" customWidth="1"/>
  </cols>
  <sheetData>
    <row r="1" spans="1:6" x14ac:dyDescent="0.2">
      <c r="A1" s="81" t="s">
        <v>287</v>
      </c>
      <c r="B1" s="81">
        <v>30</v>
      </c>
      <c r="C1"/>
      <c r="D1"/>
    </row>
    <row r="2" spans="1:6" x14ac:dyDescent="0.2">
      <c r="C2"/>
      <c r="D2"/>
    </row>
    <row r="3" spans="1:6" x14ac:dyDescent="0.2">
      <c r="C3"/>
      <c r="D3"/>
    </row>
    <row r="4" spans="1:6" ht="17" x14ac:dyDescent="0.2">
      <c r="A4" s="4" t="s">
        <v>282</v>
      </c>
      <c r="B4" s="72"/>
      <c r="C4" s="11" t="s">
        <v>283</v>
      </c>
      <c r="D4" s="11" t="s">
        <v>284</v>
      </c>
      <c r="E4" t="s">
        <v>285</v>
      </c>
      <c r="F4" t="s">
        <v>286</v>
      </c>
    </row>
    <row r="5" spans="1:6" x14ac:dyDescent="0.2">
      <c r="A5" t="s">
        <v>16</v>
      </c>
    </row>
    <row r="6" spans="1:6" x14ac:dyDescent="0.2">
      <c r="A6" t="s">
        <v>93</v>
      </c>
    </row>
    <row r="7" spans="1:6" x14ac:dyDescent="0.2">
      <c r="A7" t="s">
        <v>45</v>
      </c>
    </row>
    <row r="8" spans="1:6" x14ac:dyDescent="0.2">
      <c r="A8" t="s">
        <v>23</v>
      </c>
    </row>
    <row r="9" spans="1:6" x14ac:dyDescent="0.2">
      <c r="A9" t="s">
        <v>47</v>
      </c>
    </row>
    <row r="10" spans="1:6" x14ac:dyDescent="0.2">
      <c r="A10" t="s">
        <v>15</v>
      </c>
    </row>
    <row r="11" spans="1:6" x14ac:dyDescent="0.2">
      <c r="A11" t="s">
        <v>43</v>
      </c>
    </row>
    <row r="12" spans="1:6" x14ac:dyDescent="0.2">
      <c r="A12" t="s">
        <v>70</v>
      </c>
    </row>
    <row r="13" spans="1:6" x14ac:dyDescent="0.2">
      <c r="A13" t="s">
        <v>44</v>
      </c>
    </row>
    <row r="14" spans="1:6" x14ac:dyDescent="0.2">
      <c r="A14" t="s">
        <v>18</v>
      </c>
    </row>
    <row r="15" spans="1:6" x14ac:dyDescent="0.2">
      <c r="A15" t="s">
        <v>57</v>
      </c>
    </row>
    <row r="16" spans="1:6" x14ac:dyDescent="0.2">
      <c r="A16" t="s">
        <v>119</v>
      </c>
    </row>
    <row r="17" spans="1:1" x14ac:dyDescent="0.2">
      <c r="A17" t="s">
        <v>127</v>
      </c>
    </row>
    <row r="18" spans="1:1" x14ac:dyDescent="0.2">
      <c r="A18" t="s">
        <v>54</v>
      </c>
    </row>
    <row r="19" spans="1:1" x14ac:dyDescent="0.2">
      <c r="A19" t="s">
        <v>55</v>
      </c>
    </row>
    <row r="20" spans="1:1" x14ac:dyDescent="0.2">
      <c r="A20" t="s">
        <v>69</v>
      </c>
    </row>
    <row r="21" spans="1:1" x14ac:dyDescent="0.2">
      <c r="A21" t="s">
        <v>102</v>
      </c>
    </row>
    <row r="22" spans="1:1" x14ac:dyDescent="0.2">
      <c r="A22" t="s">
        <v>117</v>
      </c>
    </row>
    <row r="23" spans="1:1" x14ac:dyDescent="0.2">
      <c r="A23" t="s">
        <v>106</v>
      </c>
    </row>
    <row r="24" spans="1:1" x14ac:dyDescent="0.2">
      <c r="A24" t="s">
        <v>105</v>
      </c>
    </row>
    <row r="25" spans="1:1" x14ac:dyDescent="0.2">
      <c r="A25" t="s">
        <v>17</v>
      </c>
    </row>
    <row r="26" spans="1:1" x14ac:dyDescent="0.2">
      <c r="A26" t="s">
        <v>66</v>
      </c>
    </row>
    <row r="27" spans="1:1" x14ac:dyDescent="0.2">
      <c r="A27" t="s">
        <v>21</v>
      </c>
    </row>
    <row r="28" spans="1:1" x14ac:dyDescent="0.2">
      <c r="A28" t="s">
        <v>13</v>
      </c>
    </row>
    <row r="29" spans="1:1" x14ac:dyDescent="0.2">
      <c r="A29" t="s">
        <v>12</v>
      </c>
    </row>
    <row r="30" spans="1:1" x14ac:dyDescent="0.2">
      <c r="A30" t="s">
        <v>52</v>
      </c>
    </row>
    <row r="31" spans="1:1" x14ac:dyDescent="0.2">
      <c r="A31" t="s">
        <v>22</v>
      </c>
    </row>
    <row r="32" spans="1:1" x14ac:dyDescent="0.2">
      <c r="A32" t="s">
        <v>68</v>
      </c>
    </row>
    <row r="33" spans="1:1" x14ac:dyDescent="0.2">
      <c r="A33" t="s">
        <v>11</v>
      </c>
    </row>
    <row r="34" spans="1:1" x14ac:dyDescent="0.2">
      <c r="A34" t="s">
        <v>26</v>
      </c>
    </row>
    <row r="35" spans="1:1" x14ac:dyDescent="0.2">
      <c r="A35" t="s">
        <v>27</v>
      </c>
    </row>
    <row r="36" spans="1:1" x14ac:dyDescent="0.2">
      <c r="A36" t="s">
        <v>103</v>
      </c>
    </row>
    <row r="37" spans="1:1" x14ac:dyDescent="0.2">
      <c r="A37" t="s">
        <v>32</v>
      </c>
    </row>
    <row r="38" spans="1:1" x14ac:dyDescent="0.2">
      <c r="A38" t="s">
        <v>67</v>
      </c>
    </row>
    <row r="39" spans="1:1" x14ac:dyDescent="0.2">
      <c r="A39" t="s">
        <v>41</v>
      </c>
    </row>
    <row r="40" spans="1:1" x14ac:dyDescent="0.2">
      <c r="A40" t="s">
        <v>40</v>
      </c>
    </row>
    <row r="41" spans="1:1" x14ac:dyDescent="0.2">
      <c r="A41" t="s">
        <v>39</v>
      </c>
    </row>
    <row r="42" spans="1:1" x14ac:dyDescent="0.2">
      <c r="A42" t="s">
        <v>8</v>
      </c>
    </row>
    <row r="43" spans="1:1" x14ac:dyDescent="0.2">
      <c r="A43" t="s">
        <v>20</v>
      </c>
    </row>
    <row r="44" spans="1:1" x14ac:dyDescent="0.2">
      <c r="A44" t="s">
        <v>24</v>
      </c>
    </row>
    <row r="45" spans="1:1" x14ac:dyDescent="0.2">
      <c r="A45" t="s">
        <v>30</v>
      </c>
    </row>
    <row r="46" spans="1:1" x14ac:dyDescent="0.2">
      <c r="A46" t="s">
        <v>31</v>
      </c>
    </row>
    <row r="47" spans="1:1" x14ac:dyDescent="0.2">
      <c r="A47" t="s">
        <v>9</v>
      </c>
    </row>
    <row r="48" spans="1:1" x14ac:dyDescent="0.2">
      <c r="A48" t="s">
        <v>33</v>
      </c>
    </row>
    <row r="49" spans="1:1" x14ac:dyDescent="0.2">
      <c r="A49" t="s">
        <v>111</v>
      </c>
    </row>
    <row r="50" spans="1:1" x14ac:dyDescent="0.2">
      <c r="A50" t="s">
        <v>112</v>
      </c>
    </row>
    <row r="51" spans="1:1" x14ac:dyDescent="0.2">
      <c r="A51" t="s">
        <v>49</v>
      </c>
    </row>
    <row r="52" spans="1:1" x14ac:dyDescent="0.2">
      <c r="A52" t="s">
        <v>50</v>
      </c>
    </row>
    <row r="53" spans="1:1" x14ac:dyDescent="0.2">
      <c r="A53" t="s">
        <v>25</v>
      </c>
    </row>
    <row r="54" spans="1:1" x14ac:dyDescent="0.2">
      <c r="A54" t="s">
        <v>51</v>
      </c>
    </row>
    <row r="55" spans="1:1" x14ac:dyDescent="0.2">
      <c r="A55" t="s">
        <v>97</v>
      </c>
    </row>
    <row r="56" spans="1:1" x14ac:dyDescent="0.2">
      <c r="A56" t="s">
        <v>28</v>
      </c>
    </row>
    <row r="57" spans="1:1" x14ac:dyDescent="0.2">
      <c r="A57" t="s">
        <v>58</v>
      </c>
    </row>
    <row r="58" spans="1:1" x14ac:dyDescent="0.2">
      <c r="A58" t="s">
        <v>166</v>
      </c>
    </row>
    <row r="59" spans="1:1" x14ac:dyDescent="0.2">
      <c r="A59" t="s">
        <v>80</v>
      </c>
    </row>
    <row r="60" spans="1:1" x14ac:dyDescent="0.2">
      <c r="A60" t="s">
        <v>29</v>
      </c>
    </row>
    <row r="61" spans="1:1" x14ac:dyDescent="0.2">
      <c r="A61" t="s">
        <v>10</v>
      </c>
    </row>
    <row r="62" spans="1:1" x14ac:dyDescent="0.2">
      <c r="A62" t="s">
        <v>53</v>
      </c>
    </row>
    <row r="63" spans="1:1" x14ac:dyDescent="0.2">
      <c r="A63" t="s">
        <v>42</v>
      </c>
    </row>
    <row r="64" spans="1:1" x14ac:dyDescent="0.2">
      <c r="A64" t="s">
        <v>117</v>
      </c>
    </row>
    <row r="65" spans="1:1" x14ac:dyDescent="0.2">
      <c r="A65" t="s">
        <v>65</v>
      </c>
    </row>
    <row r="66" spans="1:1" x14ac:dyDescent="0.2">
      <c r="A66" t="s">
        <v>75</v>
      </c>
    </row>
    <row r="67" spans="1:1" x14ac:dyDescent="0.2">
      <c r="A67" t="s">
        <v>74</v>
      </c>
    </row>
    <row r="68" spans="1:1" x14ac:dyDescent="0.2">
      <c r="A68" t="s">
        <v>76</v>
      </c>
    </row>
    <row r="69" spans="1:1" x14ac:dyDescent="0.2">
      <c r="A69" t="s">
        <v>77</v>
      </c>
    </row>
    <row r="70" spans="1:1" x14ac:dyDescent="0.2">
      <c r="A70" t="s">
        <v>73</v>
      </c>
    </row>
    <row r="71" spans="1:1" x14ac:dyDescent="0.2">
      <c r="A71" t="s">
        <v>19</v>
      </c>
    </row>
    <row r="72" spans="1:1" x14ac:dyDescent="0.2">
      <c r="A72" t="s">
        <v>101</v>
      </c>
    </row>
    <row r="73" spans="1:1" x14ac:dyDescent="0.2">
      <c r="A73" t="s">
        <v>46</v>
      </c>
    </row>
    <row r="74" spans="1:1" x14ac:dyDescent="0.2">
      <c r="A74" t="s">
        <v>48</v>
      </c>
    </row>
    <row r="75" spans="1:1" x14ac:dyDescent="0.2">
      <c r="A75" t="s">
        <v>34</v>
      </c>
    </row>
    <row r="76" spans="1:1" x14ac:dyDescent="0.2">
      <c r="A76" t="s">
        <v>36</v>
      </c>
    </row>
    <row r="77" spans="1:1" x14ac:dyDescent="0.2">
      <c r="A77" t="s">
        <v>35</v>
      </c>
    </row>
    <row r="78" spans="1:1" x14ac:dyDescent="0.2">
      <c r="A78" t="s">
        <v>37</v>
      </c>
    </row>
    <row r="79" spans="1:1" x14ac:dyDescent="0.2">
      <c r="A79" t="s">
        <v>38</v>
      </c>
    </row>
    <row r="80" spans="1:1" x14ac:dyDescent="0.2">
      <c r="A80">
        <v>0</v>
      </c>
    </row>
    <row r="81" spans="1:1" x14ac:dyDescent="0.2">
      <c r="A81">
        <v>0</v>
      </c>
    </row>
    <row r="82" spans="1:1" x14ac:dyDescent="0.2">
      <c r="A82" t="s">
        <v>88</v>
      </c>
    </row>
    <row r="83" spans="1:1" x14ac:dyDescent="0.2">
      <c r="A83" t="s">
        <v>89</v>
      </c>
    </row>
    <row r="84" spans="1:1" x14ac:dyDescent="0.2">
      <c r="A84">
        <v>0</v>
      </c>
    </row>
    <row r="85" spans="1:1" x14ac:dyDescent="0.2">
      <c r="A85">
        <v>0</v>
      </c>
    </row>
    <row r="86" spans="1:1" x14ac:dyDescent="0.2">
      <c r="A86">
        <v>0</v>
      </c>
    </row>
    <row r="87" spans="1:1" x14ac:dyDescent="0.2">
      <c r="A87" t="s">
        <v>96</v>
      </c>
    </row>
    <row r="88" spans="1:1" x14ac:dyDescent="0.2">
      <c r="A88" t="s">
        <v>98</v>
      </c>
    </row>
    <row r="89" spans="1:1" x14ac:dyDescent="0.2">
      <c r="A89" t="s">
        <v>100</v>
      </c>
    </row>
    <row r="90" spans="1:1" x14ac:dyDescent="0.2">
      <c r="A90" t="s">
        <v>104</v>
      </c>
    </row>
    <row r="91" spans="1:1" x14ac:dyDescent="0.2">
      <c r="A91" t="s">
        <v>109</v>
      </c>
    </row>
    <row r="92" spans="1:1" x14ac:dyDescent="0.2">
      <c r="A92" t="s">
        <v>110</v>
      </c>
    </row>
    <row r="93" spans="1:1" x14ac:dyDescent="0.2">
      <c r="A93">
        <v>0</v>
      </c>
    </row>
    <row r="94" spans="1:1" x14ac:dyDescent="0.2">
      <c r="A94" t="s">
        <v>162</v>
      </c>
    </row>
    <row r="95" spans="1:1" x14ac:dyDescent="0.2">
      <c r="A95" t="s">
        <v>163</v>
      </c>
    </row>
    <row r="96" spans="1:1" x14ac:dyDescent="0.2">
      <c r="A96" t="s">
        <v>164</v>
      </c>
    </row>
    <row r="97" spans="1:1" x14ac:dyDescent="0.2">
      <c r="A97" t="s">
        <v>165</v>
      </c>
    </row>
    <row r="98" spans="1:1" x14ac:dyDescent="0.2">
      <c r="A98" t="s">
        <v>167</v>
      </c>
    </row>
    <row r="99" spans="1:1" x14ac:dyDescent="0.2">
      <c r="A99" t="s">
        <v>168</v>
      </c>
    </row>
    <row r="100" spans="1:1" x14ac:dyDescent="0.2">
      <c r="A100" t="s">
        <v>169</v>
      </c>
    </row>
    <row r="101" spans="1:1" x14ac:dyDescent="0.2">
      <c r="A101">
        <v>0</v>
      </c>
    </row>
    <row r="102" spans="1:1" x14ac:dyDescent="0.2">
      <c r="A102">
        <v>0</v>
      </c>
    </row>
    <row r="103" spans="1:1" x14ac:dyDescent="0.2">
      <c r="A103">
        <v>0</v>
      </c>
    </row>
    <row r="104" spans="1:1" x14ac:dyDescent="0.2">
      <c r="A104">
        <v>0</v>
      </c>
    </row>
    <row r="105" spans="1:1" x14ac:dyDescent="0.2">
      <c r="A105">
        <v>0</v>
      </c>
    </row>
    <row r="106" spans="1:1" x14ac:dyDescent="0.2">
      <c r="A106">
        <v>0</v>
      </c>
    </row>
    <row r="107" spans="1:1" x14ac:dyDescent="0.2">
      <c r="A107">
        <v>0</v>
      </c>
    </row>
    <row r="108" spans="1:1" x14ac:dyDescent="0.2">
      <c r="A108">
        <v>0</v>
      </c>
    </row>
    <row r="109" spans="1:1" x14ac:dyDescent="0.2">
      <c r="A109">
        <v>0</v>
      </c>
    </row>
    <row r="110" spans="1:1" x14ac:dyDescent="0.2">
      <c r="A110">
        <v>0</v>
      </c>
    </row>
    <row r="111" spans="1:1" x14ac:dyDescent="0.2">
      <c r="A111">
        <v>0</v>
      </c>
    </row>
    <row r="112" spans="1:1" x14ac:dyDescent="0.2">
      <c r="A112">
        <v>0</v>
      </c>
    </row>
    <row r="113" spans="1:1" x14ac:dyDescent="0.2">
      <c r="A113">
        <v>0</v>
      </c>
    </row>
    <row r="114" spans="1:1" x14ac:dyDescent="0.2">
      <c r="A114">
        <v>0</v>
      </c>
    </row>
    <row r="115" spans="1:1" x14ac:dyDescent="0.2">
      <c r="A115">
        <v>0</v>
      </c>
    </row>
    <row r="116" spans="1:1" x14ac:dyDescent="0.2">
      <c r="A116">
        <v>0</v>
      </c>
    </row>
    <row r="117" spans="1:1" x14ac:dyDescent="0.2">
      <c r="A117">
        <v>0</v>
      </c>
    </row>
    <row r="118" spans="1:1" x14ac:dyDescent="0.2">
      <c r="A118">
        <v>0</v>
      </c>
    </row>
    <row r="119" spans="1:1" x14ac:dyDescent="0.2">
      <c r="A119">
        <v>0</v>
      </c>
    </row>
    <row r="120" spans="1:1" x14ac:dyDescent="0.2">
      <c r="A120">
        <v>0</v>
      </c>
    </row>
    <row r="121" spans="1:1" x14ac:dyDescent="0.2">
      <c r="A121">
        <v>0</v>
      </c>
    </row>
    <row r="122" spans="1:1" x14ac:dyDescent="0.2">
      <c r="A122">
        <v>0</v>
      </c>
    </row>
    <row r="123" spans="1:1" x14ac:dyDescent="0.2">
      <c r="A123">
        <v>0</v>
      </c>
    </row>
    <row r="124" spans="1:1" x14ac:dyDescent="0.2">
      <c r="A124">
        <v>0</v>
      </c>
    </row>
    <row r="125" spans="1:1" x14ac:dyDescent="0.2">
      <c r="A125">
        <v>0</v>
      </c>
    </row>
    <row r="126" spans="1:1" x14ac:dyDescent="0.2">
      <c r="A126">
        <v>0</v>
      </c>
    </row>
    <row r="127" spans="1:1" x14ac:dyDescent="0.2">
      <c r="A127">
        <v>0</v>
      </c>
    </row>
    <row r="128" spans="1:1" x14ac:dyDescent="0.2">
      <c r="A128">
        <v>0</v>
      </c>
    </row>
    <row r="129" spans="1:1" x14ac:dyDescent="0.2">
      <c r="A129">
        <v>0</v>
      </c>
    </row>
    <row r="130" spans="1:1" x14ac:dyDescent="0.2">
      <c r="A130">
        <v>0</v>
      </c>
    </row>
    <row r="131" spans="1:1" x14ac:dyDescent="0.2">
      <c r="A131">
        <v>0</v>
      </c>
    </row>
    <row r="132" spans="1:1" x14ac:dyDescent="0.2">
      <c r="A132">
        <v>0</v>
      </c>
    </row>
    <row r="133" spans="1:1" x14ac:dyDescent="0.2">
      <c r="A133">
        <v>0</v>
      </c>
    </row>
    <row r="134" spans="1:1" x14ac:dyDescent="0.2">
      <c r="A134">
        <v>0</v>
      </c>
    </row>
    <row r="135" spans="1:1" x14ac:dyDescent="0.2">
      <c r="A135">
        <v>0</v>
      </c>
    </row>
    <row r="136" spans="1:1" x14ac:dyDescent="0.2">
      <c r="A136">
        <v>0</v>
      </c>
    </row>
    <row r="137" spans="1:1" x14ac:dyDescent="0.2">
      <c r="A137">
        <v>0</v>
      </c>
    </row>
    <row r="138" spans="1:1" x14ac:dyDescent="0.2">
      <c r="A138">
        <v>0</v>
      </c>
    </row>
    <row r="139" spans="1:1" x14ac:dyDescent="0.2">
      <c r="A139">
        <v>0</v>
      </c>
    </row>
    <row r="140" spans="1:1" x14ac:dyDescent="0.2">
      <c r="A140">
        <v>0</v>
      </c>
    </row>
    <row r="141" spans="1:1" x14ac:dyDescent="0.2">
      <c r="A141">
        <v>0</v>
      </c>
    </row>
    <row r="142" spans="1:1" x14ac:dyDescent="0.2">
      <c r="A142">
        <v>0</v>
      </c>
    </row>
    <row r="143" spans="1:1" x14ac:dyDescent="0.2">
      <c r="A143">
        <v>0</v>
      </c>
    </row>
    <row r="144" spans="1:1" x14ac:dyDescent="0.2">
      <c r="A144">
        <v>0</v>
      </c>
    </row>
    <row r="145" spans="1:1" x14ac:dyDescent="0.2">
      <c r="A145">
        <v>0</v>
      </c>
    </row>
    <row r="146" spans="1:1" x14ac:dyDescent="0.2">
      <c r="A146">
        <v>0</v>
      </c>
    </row>
    <row r="147" spans="1:1" x14ac:dyDescent="0.2">
      <c r="A147">
        <v>0</v>
      </c>
    </row>
    <row r="148" spans="1:1" x14ac:dyDescent="0.2">
      <c r="A148">
        <v>0</v>
      </c>
    </row>
    <row r="149" spans="1:1" x14ac:dyDescent="0.2">
      <c r="A149">
        <v>0</v>
      </c>
    </row>
    <row r="150" spans="1:1" x14ac:dyDescent="0.2">
      <c r="A150">
        <v>0</v>
      </c>
    </row>
    <row r="151" spans="1:1" x14ac:dyDescent="0.2">
      <c r="A151">
        <v>0</v>
      </c>
    </row>
    <row r="152" spans="1:1" x14ac:dyDescent="0.2">
      <c r="A152">
        <v>0</v>
      </c>
    </row>
    <row r="153" spans="1:1" x14ac:dyDescent="0.2">
      <c r="A153">
        <v>0</v>
      </c>
    </row>
    <row r="154" spans="1:1" x14ac:dyDescent="0.2">
      <c r="A154">
        <v>0</v>
      </c>
    </row>
    <row r="155" spans="1:1" x14ac:dyDescent="0.2">
      <c r="A155">
        <v>0</v>
      </c>
    </row>
    <row r="156" spans="1:1" x14ac:dyDescent="0.2">
      <c r="A156">
        <v>0</v>
      </c>
    </row>
    <row r="157" spans="1:1" x14ac:dyDescent="0.2">
      <c r="A157">
        <v>0</v>
      </c>
    </row>
    <row r="158" spans="1:1" x14ac:dyDescent="0.2">
      <c r="A158">
        <v>0</v>
      </c>
    </row>
    <row r="159" spans="1:1" x14ac:dyDescent="0.2">
      <c r="A159">
        <v>0</v>
      </c>
    </row>
    <row r="160" spans="1:1" x14ac:dyDescent="0.2">
      <c r="A160">
        <v>0</v>
      </c>
    </row>
    <row r="161" spans="1:1" x14ac:dyDescent="0.2">
      <c r="A161">
        <v>0</v>
      </c>
    </row>
    <row r="162" spans="1:1" x14ac:dyDescent="0.2">
      <c r="A162">
        <v>0</v>
      </c>
    </row>
    <row r="163" spans="1:1" x14ac:dyDescent="0.2">
      <c r="A163">
        <v>0</v>
      </c>
    </row>
    <row r="164" spans="1:1" x14ac:dyDescent="0.2">
      <c r="A164">
        <v>0</v>
      </c>
    </row>
    <row r="165" spans="1:1" x14ac:dyDescent="0.2">
      <c r="A165">
        <v>0</v>
      </c>
    </row>
    <row r="166" spans="1:1" x14ac:dyDescent="0.2">
      <c r="A166">
        <v>0</v>
      </c>
    </row>
    <row r="167" spans="1:1" x14ac:dyDescent="0.2">
      <c r="A167">
        <v>0</v>
      </c>
    </row>
    <row r="168" spans="1:1" x14ac:dyDescent="0.2">
      <c r="A168">
        <v>0</v>
      </c>
    </row>
    <row r="169" spans="1:1" x14ac:dyDescent="0.2">
      <c r="A169">
        <v>0</v>
      </c>
    </row>
    <row r="170" spans="1:1" x14ac:dyDescent="0.2">
      <c r="A170">
        <v>0</v>
      </c>
    </row>
    <row r="171" spans="1:1" x14ac:dyDescent="0.2">
      <c r="A171">
        <v>0</v>
      </c>
    </row>
    <row r="172" spans="1:1" x14ac:dyDescent="0.2">
      <c r="A172">
        <v>0</v>
      </c>
    </row>
    <row r="173" spans="1:1" x14ac:dyDescent="0.2">
      <c r="A173">
        <v>0</v>
      </c>
    </row>
    <row r="174" spans="1:1" x14ac:dyDescent="0.2">
      <c r="A174">
        <v>0</v>
      </c>
    </row>
    <row r="175" spans="1:1" x14ac:dyDescent="0.2">
      <c r="A175">
        <v>0</v>
      </c>
    </row>
    <row r="176" spans="1:1" x14ac:dyDescent="0.2">
      <c r="A176">
        <v>0</v>
      </c>
    </row>
    <row r="177" spans="1:1" x14ac:dyDescent="0.2">
      <c r="A177">
        <v>0</v>
      </c>
    </row>
    <row r="178" spans="1:1" x14ac:dyDescent="0.2">
      <c r="A178">
        <v>0</v>
      </c>
    </row>
    <row r="179" spans="1:1" x14ac:dyDescent="0.2">
      <c r="A179">
        <v>0</v>
      </c>
    </row>
    <row r="180" spans="1:1" x14ac:dyDescent="0.2">
      <c r="A180">
        <v>0</v>
      </c>
    </row>
    <row r="181" spans="1:1" x14ac:dyDescent="0.2">
      <c r="A181">
        <v>0</v>
      </c>
    </row>
    <row r="182" spans="1:1" x14ac:dyDescent="0.2">
      <c r="A182">
        <v>0</v>
      </c>
    </row>
    <row r="183" spans="1:1" x14ac:dyDescent="0.2">
      <c r="A183">
        <v>0</v>
      </c>
    </row>
    <row r="184" spans="1:1" x14ac:dyDescent="0.2">
      <c r="A184">
        <v>0</v>
      </c>
    </row>
    <row r="185" spans="1:1" x14ac:dyDescent="0.2">
      <c r="A185">
        <v>0</v>
      </c>
    </row>
    <row r="186" spans="1:1" x14ac:dyDescent="0.2">
      <c r="A186">
        <v>0</v>
      </c>
    </row>
    <row r="187" spans="1:1" x14ac:dyDescent="0.2">
      <c r="A187">
        <v>0</v>
      </c>
    </row>
    <row r="188" spans="1:1" x14ac:dyDescent="0.2">
      <c r="A188">
        <v>0</v>
      </c>
    </row>
    <row r="189" spans="1:1" x14ac:dyDescent="0.2">
      <c r="A189">
        <v>0</v>
      </c>
    </row>
    <row r="190" spans="1:1" x14ac:dyDescent="0.2">
      <c r="A190">
        <v>0</v>
      </c>
    </row>
    <row r="191" spans="1:1" x14ac:dyDescent="0.2">
      <c r="A191">
        <v>0</v>
      </c>
    </row>
    <row r="192" spans="1:1" x14ac:dyDescent="0.2">
      <c r="A192">
        <v>0</v>
      </c>
    </row>
    <row r="193" spans="1:1" x14ac:dyDescent="0.2">
      <c r="A193">
        <v>0</v>
      </c>
    </row>
    <row r="194" spans="1:1" x14ac:dyDescent="0.2">
      <c r="A194">
        <v>0</v>
      </c>
    </row>
    <row r="195" spans="1:1" x14ac:dyDescent="0.2">
      <c r="A195">
        <v>0</v>
      </c>
    </row>
    <row r="196" spans="1:1" x14ac:dyDescent="0.2">
      <c r="A196">
        <v>0</v>
      </c>
    </row>
    <row r="197" spans="1:1" x14ac:dyDescent="0.2">
      <c r="A197">
        <v>0</v>
      </c>
    </row>
    <row r="198" spans="1:1" x14ac:dyDescent="0.2">
      <c r="A198">
        <v>0</v>
      </c>
    </row>
    <row r="199" spans="1:1" x14ac:dyDescent="0.2">
      <c r="A199">
        <v>0</v>
      </c>
    </row>
    <row r="200" spans="1:1" x14ac:dyDescent="0.2">
      <c r="A200">
        <v>0</v>
      </c>
    </row>
    <row r="201" spans="1:1" x14ac:dyDescent="0.2">
      <c r="A201">
        <v>0</v>
      </c>
    </row>
    <row r="202" spans="1:1" x14ac:dyDescent="0.2">
      <c r="A202">
        <v>0</v>
      </c>
    </row>
    <row r="203" spans="1:1" x14ac:dyDescent="0.2">
      <c r="A203">
        <v>0</v>
      </c>
    </row>
    <row r="204" spans="1:1" x14ac:dyDescent="0.2">
      <c r="A204">
        <v>0</v>
      </c>
    </row>
    <row r="205" spans="1:1" x14ac:dyDescent="0.2">
      <c r="A205">
        <v>0</v>
      </c>
    </row>
    <row r="206" spans="1:1" x14ac:dyDescent="0.2">
      <c r="A206">
        <v>0</v>
      </c>
    </row>
    <row r="207" spans="1:1" x14ac:dyDescent="0.2">
      <c r="A207">
        <v>0</v>
      </c>
    </row>
    <row r="208" spans="1:1" x14ac:dyDescent="0.2">
      <c r="A208">
        <v>0</v>
      </c>
    </row>
    <row r="209" spans="1:1" x14ac:dyDescent="0.2">
      <c r="A209">
        <v>0</v>
      </c>
    </row>
    <row r="210" spans="1:1" x14ac:dyDescent="0.2">
      <c r="A210">
        <v>0</v>
      </c>
    </row>
    <row r="211" spans="1:1" x14ac:dyDescent="0.2">
      <c r="A211">
        <v>0</v>
      </c>
    </row>
    <row r="212" spans="1:1" x14ac:dyDescent="0.2">
      <c r="A212">
        <v>0</v>
      </c>
    </row>
    <row r="213" spans="1:1" x14ac:dyDescent="0.2">
      <c r="A213">
        <v>0</v>
      </c>
    </row>
    <row r="214" spans="1:1" x14ac:dyDescent="0.2">
      <c r="A214">
        <v>0</v>
      </c>
    </row>
    <row r="215" spans="1:1" x14ac:dyDescent="0.2">
      <c r="A215">
        <v>0</v>
      </c>
    </row>
    <row r="216" spans="1:1" x14ac:dyDescent="0.2">
      <c r="A216">
        <v>0</v>
      </c>
    </row>
    <row r="217" spans="1:1" x14ac:dyDescent="0.2">
      <c r="A217">
        <v>0</v>
      </c>
    </row>
    <row r="218" spans="1:1" x14ac:dyDescent="0.2">
      <c r="A218">
        <v>0</v>
      </c>
    </row>
    <row r="219" spans="1:1" x14ac:dyDescent="0.2">
      <c r="A219">
        <v>0</v>
      </c>
    </row>
    <row r="220" spans="1:1" x14ac:dyDescent="0.2">
      <c r="A220">
        <v>0</v>
      </c>
    </row>
    <row r="221" spans="1:1" x14ac:dyDescent="0.2">
      <c r="A221">
        <v>0</v>
      </c>
    </row>
    <row r="222" spans="1:1" x14ac:dyDescent="0.2">
      <c r="A222">
        <v>0</v>
      </c>
    </row>
    <row r="223" spans="1:1" x14ac:dyDescent="0.2">
      <c r="A223">
        <v>0</v>
      </c>
    </row>
    <row r="224" spans="1:1" x14ac:dyDescent="0.2">
      <c r="A224">
        <v>0</v>
      </c>
    </row>
    <row r="225" spans="1:1" x14ac:dyDescent="0.2">
      <c r="A225">
        <v>0</v>
      </c>
    </row>
    <row r="226" spans="1:1" x14ac:dyDescent="0.2">
      <c r="A226">
        <v>0</v>
      </c>
    </row>
    <row r="227" spans="1:1" x14ac:dyDescent="0.2">
      <c r="A227">
        <v>0</v>
      </c>
    </row>
    <row r="228" spans="1:1" x14ac:dyDescent="0.2">
      <c r="A228">
        <v>0</v>
      </c>
    </row>
    <row r="229" spans="1:1" x14ac:dyDescent="0.2">
      <c r="A229">
        <v>0</v>
      </c>
    </row>
    <row r="230" spans="1:1" x14ac:dyDescent="0.2">
      <c r="A230">
        <v>0</v>
      </c>
    </row>
    <row r="231" spans="1:1" x14ac:dyDescent="0.2">
      <c r="A231">
        <v>0</v>
      </c>
    </row>
    <row r="232" spans="1:1" x14ac:dyDescent="0.2">
      <c r="A232">
        <v>0</v>
      </c>
    </row>
    <row r="233" spans="1:1" x14ac:dyDescent="0.2">
      <c r="A233">
        <v>0</v>
      </c>
    </row>
    <row r="234" spans="1:1" x14ac:dyDescent="0.2">
      <c r="A234">
        <v>0</v>
      </c>
    </row>
    <row r="235" spans="1:1" x14ac:dyDescent="0.2">
      <c r="A235">
        <v>0</v>
      </c>
    </row>
    <row r="236" spans="1:1" x14ac:dyDescent="0.2">
      <c r="A236">
        <v>0</v>
      </c>
    </row>
    <row r="237" spans="1:1" x14ac:dyDescent="0.2">
      <c r="A237">
        <v>0</v>
      </c>
    </row>
    <row r="238" spans="1:1" x14ac:dyDescent="0.2">
      <c r="A238">
        <v>0</v>
      </c>
    </row>
    <row r="239" spans="1:1" x14ac:dyDescent="0.2">
      <c r="A239">
        <v>0</v>
      </c>
    </row>
    <row r="240" spans="1:1" x14ac:dyDescent="0.2">
      <c r="A240">
        <v>0</v>
      </c>
    </row>
    <row r="241" spans="1:1" x14ac:dyDescent="0.2">
      <c r="A241">
        <v>0</v>
      </c>
    </row>
    <row r="242" spans="1:1" x14ac:dyDescent="0.2">
      <c r="A242">
        <v>0</v>
      </c>
    </row>
    <row r="243" spans="1:1" x14ac:dyDescent="0.2">
      <c r="A243">
        <v>0</v>
      </c>
    </row>
    <row r="244" spans="1:1" x14ac:dyDescent="0.2">
      <c r="A244">
        <v>0</v>
      </c>
    </row>
    <row r="245" spans="1:1" x14ac:dyDescent="0.2">
      <c r="A245">
        <v>0</v>
      </c>
    </row>
    <row r="246" spans="1:1" x14ac:dyDescent="0.2">
      <c r="A246">
        <v>0</v>
      </c>
    </row>
    <row r="247" spans="1:1" x14ac:dyDescent="0.2">
      <c r="A247">
        <v>0</v>
      </c>
    </row>
    <row r="248" spans="1:1" x14ac:dyDescent="0.2">
      <c r="A248">
        <v>0</v>
      </c>
    </row>
    <row r="249" spans="1:1" x14ac:dyDescent="0.2">
      <c r="A249">
        <v>0</v>
      </c>
    </row>
    <row r="250" spans="1:1" x14ac:dyDescent="0.2">
      <c r="A250">
        <v>0</v>
      </c>
    </row>
    <row r="251" spans="1:1" x14ac:dyDescent="0.2">
      <c r="A251">
        <v>0</v>
      </c>
    </row>
    <row r="252" spans="1:1" x14ac:dyDescent="0.2">
      <c r="A252">
        <v>0</v>
      </c>
    </row>
    <row r="253" spans="1:1" x14ac:dyDescent="0.2">
      <c r="A253">
        <v>0</v>
      </c>
    </row>
    <row r="254" spans="1:1" x14ac:dyDescent="0.2">
      <c r="A254">
        <v>0</v>
      </c>
    </row>
    <row r="255" spans="1:1" x14ac:dyDescent="0.2">
      <c r="A255">
        <v>0</v>
      </c>
    </row>
    <row r="256" spans="1:1" x14ac:dyDescent="0.2">
      <c r="A256">
        <v>0</v>
      </c>
    </row>
    <row r="257" spans="1:1" x14ac:dyDescent="0.2">
      <c r="A257">
        <v>0</v>
      </c>
    </row>
    <row r="258" spans="1:1" x14ac:dyDescent="0.2">
      <c r="A258">
        <v>0</v>
      </c>
    </row>
    <row r="259" spans="1:1" x14ac:dyDescent="0.2">
      <c r="A259">
        <v>0</v>
      </c>
    </row>
    <row r="260" spans="1:1" x14ac:dyDescent="0.2">
      <c r="A260">
        <v>0</v>
      </c>
    </row>
    <row r="261" spans="1:1" x14ac:dyDescent="0.2">
      <c r="A261">
        <v>0</v>
      </c>
    </row>
    <row r="262" spans="1:1" x14ac:dyDescent="0.2">
      <c r="A262">
        <v>0</v>
      </c>
    </row>
    <row r="263" spans="1:1" x14ac:dyDescent="0.2">
      <c r="A263">
        <v>0</v>
      </c>
    </row>
    <row r="264" spans="1:1" x14ac:dyDescent="0.2">
      <c r="A264">
        <v>0</v>
      </c>
    </row>
    <row r="265" spans="1:1" x14ac:dyDescent="0.2">
      <c r="A265">
        <v>0</v>
      </c>
    </row>
    <row r="266" spans="1:1" x14ac:dyDescent="0.2">
      <c r="A266">
        <v>0</v>
      </c>
    </row>
    <row r="267" spans="1:1" x14ac:dyDescent="0.2">
      <c r="A267">
        <v>0</v>
      </c>
    </row>
    <row r="268" spans="1:1" x14ac:dyDescent="0.2">
      <c r="A268">
        <v>0</v>
      </c>
    </row>
    <row r="269" spans="1:1" x14ac:dyDescent="0.2">
      <c r="A269">
        <v>0</v>
      </c>
    </row>
    <row r="270" spans="1:1" x14ac:dyDescent="0.2">
      <c r="A270">
        <v>0</v>
      </c>
    </row>
    <row r="271" spans="1:1" x14ac:dyDescent="0.2">
      <c r="A271">
        <v>0</v>
      </c>
    </row>
    <row r="272" spans="1:1" x14ac:dyDescent="0.2">
      <c r="A272">
        <v>0</v>
      </c>
    </row>
    <row r="273" spans="1:1" x14ac:dyDescent="0.2">
      <c r="A273">
        <v>0</v>
      </c>
    </row>
    <row r="274" spans="1:1" x14ac:dyDescent="0.2">
      <c r="A274">
        <v>0</v>
      </c>
    </row>
    <row r="275" spans="1:1" x14ac:dyDescent="0.2">
      <c r="A275">
        <v>0</v>
      </c>
    </row>
    <row r="276" spans="1:1" x14ac:dyDescent="0.2">
      <c r="A276">
        <v>0</v>
      </c>
    </row>
    <row r="277" spans="1:1" x14ac:dyDescent="0.2">
      <c r="A277">
        <v>0</v>
      </c>
    </row>
    <row r="278" spans="1:1" x14ac:dyDescent="0.2">
      <c r="A278">
        <v>0</v>
      </c>
    </row>
    <row r="279" spans="1:1" x14ac:dyDescent="0.2">
      <c r="A279">
        <v>0</v>
      </c>
    </row>
    <row r="280" spans="1:1" x14ac:dyDescent="0.2">
      <c r="A280">
        <v>0</v>
      </c>
    </row>
    <row r="281" spans="1:1" x14ac:dyDescent="0.2">
      <c r="A281">
        <v>0</v>
      </c>
    </row>
    <row r="282" spans="1:1" x14ac:dyDescent="0.2">
      <c r="A282">
        <v>0</v>
      </c>
    </row>
    <row r="283" spans="1:1" x14ac:dyDescent="0.2">
      <c r="A283">
        <v>0</v>
      </c>
    </row>
    <row r="284" spans="1:1" x14ac:dyDescent="0.2">
      <c r="A284">
        <v>0</v>
      </c>
    </row>
    <row r="285" spans="1:1" x14ac:dyDescent="0.2">
      <c r="A285">
        <v>0</v>
      </c>
    </row>
    <row r="286" spans="1:1" x14ac:dyDescent="0.2">
      <c r="A286">
        <v>0</v>
      </c>
    </row>
    <row r="287" spans="1:1" x14ac:dyDescent="0.2">
      <c r="A287">
        <v>0</v>
      </c>
    </row>
    <row r="288" spans="1:1" x14ac:dyDescent="0.2">
      <c r="A288">
        <v>0</v>
      </c>
    </row>
    <row r="289" spans="1:1" x14ac:dyDescent="0.2">
      <c r="A289">
        <v>0</v>
      </c>
    </row>
    <row r="290" spans="1:1" x14ac:dyDescent="0.2">
      <c r="A290">
        <v>0</v>
      </c>
    </row>
    <row r="291" spans="1:1" x14ac:dyDescent="0.2">
      <c r="A291">
        <v>0</v>
      </c>
    </row>
    <row r="292" spans="1:1" x14ac:dyDescent="0.2">
      <c r="A292">
        <v>0</v>
      </c>
    </row>
    <row r="293" spans="1:1" x14ac:dyDescent="0.2">
      <c r="A293">
        <v>0</v>
      </c>
    </row>
    <row r="294" spans="1:1" x14ac:dyDescent="0.2">
      <c r="A294">
        <v>0</v>
      </c>
    </row>
    <row r="295" spans="1:1" x14ac:dyDescent="0.2">
      <c r="A295">
        <v>0</v>
      </c>
    </row>
    <row r="296" spans="1:1" x14ac:dyDescent="0.2">
      <c r="A296">
        <v>0</v>
      </c>
    </row>
    <row r="297" spans="1:1" x14ac:dyDescent="0.2">
      <c r="A297">
        <v>0</v>
      </c>
    </row>
    <row r="298" spans="1:1" x14ac:dyDescent="0.2">
      <c r="A298">
        <v>0</v>
      </c>
    </row>
    <row r="299" spans="1:1" x14ac:dyDescent="0.2">
      <c r="A299">
        <v>0</v>
      </c>
    </row>
    <row r="300" spans="1:1" x14ac:dyDescent="0.2">
      <c r="A300">
        <v>0</v>
      </c>
    </row>
    <row r="301" spans="1:1" x14ac:dyDescent="0.2">
      <c r="A301">
        <v>0</v>
      </c>
    </row>
    <row r="302" spans="1:1" x14ac:dyDescent="0.2">
      <c r="A302">
        <v>0</v>
      </c>
    </row>
    <row r="303" spans="1:1" x14ac:dyDescent="0.2">
      <c r="A303">
        <v>0</v>
      </c>
    </row>
    <row r="304" spans="1:1" x14ac:dyDescent="0.2">
      <c r="A304">
        <v>0</v>
      </c>
    </row>
    <row r="305" spans="1:1" x14ac:dyDescent="0.2">
      <c r="A305">
        <v>0</v>
      </c>
    </row>
    <row r="306" spans="1:1" x14ac:dyDescent="0.2">
      <c r="A306">
        <v>0</v>
      </c>
    </row>
    <row r="307" spans="1:1" x14ac:dyDescent="0.2">
      <c r="A307">
        <v>0</v>
      </c>
    </row>
  </sheetData>
  <dataValidations count="1">
    <dataValidation type="list" allowBlank="1" showInputMessage="1" showErrorMessage="1" sqref="A4:A1048576 B4:B1048576" xr:uid="{8FF2EA18-074A-8C47-8E70-805201563729}">
      <formula1>TProduits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5BAAC-FF1F-C241-8758-CE3006C80DF1}">
  <sheetPr codeName="Feuil10"/>
  <dimension ref="B1:G62"/>
  <sheetViews>
    <sheetView workbookViewId="0">
      <selection activeCell="E53" sqref="E53"/>
    </sheetView>
  </sheetViews>
  <sheetFormatPr baseColWidth="10" defaultRowHeight="16" x14ac:dyDescent="0.2"/>
  <cols>
    <col min="1" max="1" width="5" customWidth="1"/>
    <col min="2" max="2" width="41.6640625" bestFit="1" customWidth="1"/>
    <col min="3" max="3" width="18.6640625" customWidth="1"/>
    <col min="5" max="5" width="10.83203125" style="15"/>
    <col min="6" max="6" width="62.33203125" bestFit="1" customWidth="1"/>
    <col min="7" max="7" width="182.5" bestFit="1" customWidth="1"/>
  </cols>
  <sheetData>
    <row r="1" spans="2:6" ht="17" thickBot="1" x14ac:dyDescent="0.25"/>
    <row r="2" spans="2:6" ht="17" thickBot="1" x14ac:dyDescent="0.25">
      <c r="B2" s="35" t="s">
        <v>170</v>
      </c>
      <c r="C2" s="36">
        <v>27</v>
      </c>
      <c r="E2" s="15" t="s">
        <v>227</v>
      </c>
    </row>
    <row r="3" spans="2:6" x14ac:dyDescent="0.2">
      <c r="B3" s="35" t="s">
        <v>171</v>
      </c>
      <c r="C3" s="36">
        <v>18</v>
      </c>
      <c r="E3" s="15" t="s">
        <v>247</v>
      </c>
    </row>
    <row r="4" spans="2:6" ht="17" thickBot="1" x14ac:dyDescent="0.25">
      <c r="B4" s="37" t="s">
        <v>172</v>
      </c>
      <c r="C4" s="38">
        <v>8</v>
      </c>
      <c r="E4" s="15" t="s">
        <v>228</v>
      </c>
    </row>
    <row r="5" spans="2:6" x14ac:dyDescent="0.2">
      <c r="B5" s="35" t="s">
        <v>173</v>
      </c>
      <c r="C5" s="48">
        <f>C2-C3</f>
        <v>9</v>
      </c>
      <c r="E5" s="15" t="s">
        <v>229</v>
      </c>
      <c r="F5" t="s">
        <v>248</v>
      </c>
    </row>
    <row r="6" spans="2:6" ht="17" thickBot="1" x14ac:dyDescent="0.25">
      <c r="B6" s="37" t="s">
        <v>174</v>
      </c>
      <c r="C6" s="38">
        <v>12</v>
      </c>
      <c r="E6" s="15" t="s">
        <v>230</v>
      </c>
    </row>
    <row r="7" spans="2:6" x14ac:dyDescent="0.2">
      <c r="B7" s="35" t="s">
        <v>175</v>
      </c>
      <c r="C7" s="36">
        <v>40</v>
      </c>
      <c r="E7" s="15" t="s">
        <v>232</v>
      </c>
    </row>
    <row r="8" spans="2:6" x14ac:dyDescent="0.2">
      <c r="B8" s="39" t="s">
        <v>176</v>
      </c>
      <c r="C8" s="40">
        <v>40</v>
      </c>
      <c r="E8" s="15" t="s">
        <v>233</v>
      </c>
    </row>
    <row r="9" spans="2:6" ht="17" thickBot="1" x14ac:dyDescent="0.25">
      <c r="B9" s="39" t="s">
        <v>177</v>
      </c>
      <c r="C9" s="40">
        <v>40</v>
      </c>
      <c r="E9" s="15" t="s">
        <v>244</v>
      </c>
    </row>
    <row r="10" spans="2:6" x14ac:dyDescent="0.2">
      <c r="B10" s="35" t="s">
        <v>252</v>
      </c>
      <c r="C10" s="48">
        <f>C7+C8+C9</f>
        <v>120</v>
      </c>
      <c r="E10" s="15" t="s">
        <v>254</v>
      </c>
      <c r="F10" t="s">
        <v>256</v>
      </c>
    </row>
    <row r="11" spans="2:6" x14ac:dyDescent="0.2">
      <c r="B11" s="39" t="s">
        <v>253</v>
      </c>
      <c r="C11" s="50">
        <f>C7+C9</f>
        <v>80</v>
      </c>
      <c r="E11" s="15" t="s">
        <v>255</v>
      </c>
      <c r="F11" t="s">
        <v>257</v>
      </c>
    </row>
    <row r="12" spans="2:6" ht="17" thickBot="1" x14ac:dyDescent="0.25">
      <c r="B12" s="37" t="s">
        <v>259</v>
      </c>
      <c r="C12" s="47">
        <f>C10*C5+C11*C3</f>
        <v>2520</v>
      </c>
      <c r="E12" s="15" t="s">
        <v>231</v>
      </c>
      <c r="F12" t="s">
        <v>260</v>
      </c>
    </row>
    <row r="13" spans="2:6" x14ac:dyDescent="0.2">
      <c r="B13" s="39" t="s">
        <v>178</v>
      </c>
      <c r="C13" s="41">
        <v>13</v>
      </c>
      <c r="E13" s="15" t="s">
        <v>234</v>
      </c>
    </row>
    <row r="14" spans="2:6" x14ac:dyDescent="0.2">
      <c r="B14" s="39" t="s">
        <v>179</v>
      </c>
      <c r="C14" s="41">
        <v>17</v>
      </c>
      <c r="E14" s="15" t="s">
        <v>235</v>
      </c>
    </row>
    <row r="15" spans="2:6" ht="17" thickBot="1" x14ac:dyDescent="0.25">
      <c r="B15" s="37" t="s">
        <v>180</v>
      </c>
      <c r="C15" s="43">
        <v>4.0999999999999996</v>
      </c>
      <c r="E15" s="15" t="s">
        <v>236</v>
      </c>
    </row>
    <row r="16" spans="2:6" x14ac:dyDescent="0.2">
      <c r="B16" s="35" t="s">
        <v>181</v>
      </c>
      <c r="C16" s="44">
        <v>4</v>
      </c>
      <c r="E16" s="15" t="s">
        <v>237</v>
      </c>
    </row>
    <row r="17" spans="2:6" x14ac:dyDescent="0.2">
      <c r="B17" s="39" t="s">
        <v>182</v>
      </c>
      <c r="C17" s="42">
        <v>1</v>
      </c>
      <c r="E17" s="15" t="s">
        <v>238</v>
      </c>
    </row>
    <row r="18" spans="2:6" x14ac:dyDescent="0.2">
      <c r="B18" s="39" t="s">
        <v>268</v>
      </c>
      <c r="C18" s="53">
        <f>C17+C16</f>
        <v>5</v>
      </c>
      <c r="E18" s="15" t="s">
        <v>267</v>
      </c>
      <c r="F18" t="s">
        <v>280</v>
      </c>
    </row>
    <row r="19" spans="2:6" x14ac:dyDescent="0.2">
      <c r="B19" s="39" t="s">
        <v>183</v>
      </c>
      <c r="C19" s="41">
        <v>1700</v>
      </c>
      <c r="E19" s="15" t="s">
        <v>239</v>
      </c>
    </row>
    <row r="20" spans="2:6" ht="17" thickBot="1" x14ac:dyDescent="0.25">
      <c r="B20" s="37" t="s">
        <v>184</v>
      </c>
      <c r="C20" s="43">
        <v>2300</v>
      </c>
      <c r="E20" s="15" t="s">
        <v>240</v>
      </c>
    </row>
    <row r="21" spans="2:6" x14ac:dyDescent="0.2">
      <c r="B21" s="39" t="s">
        <v>185</v>
      </c>
      <c r="C21" s="41">
        <v>0.25</v>
      </c>
      <c r="E21" s="15" t="s">
        <v>241</v>
      </c>
    </row>
    <row r="22" spans="2:6" x14ac:dyDescent="0.2">
      <c r="B22" s="39" t="s">
        <v>250</v>
      </c>
      <c r="C22" s="42">
        <v>20</v>
      </c>
      <c r="E22" s="15" t="s">
        <v>251</v>
      </c>
    </row>
    <row r="23" spans="2:6" x14ac:dyDescent="0.2">
      <c r="B23" s="39" t="s">
        <v>186</v>
      </c>
      <c r="C23" s="41">
        <v>4</v>
      </c>
      <c r="E23" s="15" t="s">
        <v>242</v>
      </c>
    </row>
    <row r="24" spans="2:6" x14ac:dyDescent="0.2">
      <c r="B24" s="39" t="s">
        <v>264</v>
      </c>
      <c r="C24" s="51">
        <v>0.8</v>
      </c>
      <c r="E24" s="15" t="s">
        <v>265</v>
      </c>
    </row>
    <row r="25" spans="2:6" ht="17" thickBot="1" x14ac:dyDescent="0.25">
      <c r="B25" s="39" t="s">
        <v>261</v>
      </c>
      <c r="C25" s="51">
        <v>75</v>
      </c>
      <c r="E25" s="15" t="s">
        <v>263</v>
      </c>
    </row>
    <row r="26" spans="2:6" ht="17" thickBot="1" x14ac:dyDescent="0.25">
      <c r="B26" s="45" t="s">
        <v>187</v>
      </c>
      <c r="C26" s="46">
        <v>20</v>
      </c>
      <c r="E26" s="15" t="s">
        <v>243</v>
      </c>
    </row>
    <row r="27" spans="2:6" ht="17" thickBot="1" x14ac:dyDescent="0.25">
      <c r="B27" s="45" t="s">
        <v>271</v>
      </c>
      <c r="C27" s="52">
        <v>5</v>
      </c>
    </row>
    <row r="28" spans="2:6" ht="17" thickBot="1" x14ac:dyDescent="0.25"/>
    <row r="29" spans="2:6" x14ac:dyDescent="0.2">
      <c r="B29" s="62" t="s">
        <v>192</v>
      </c>
      <c r="C29" s="63"/>
    </row>
    <row r="30" spans="2:6" x14ac:dyDescent="0.2">
      <c r="B30" s="64" t="s">
        <v>188</v>
      </c>
      <c r="C30" s="65">
        <f>(C7*C13+C9*C14)*C3</f>
        <v>21600</v>
      </c>
      <c r="E30" s="49"/>
      <c r="F30" t="s">
        <v>249</v>
      </c>
    </row>
    <row r="31" spans="2:6" x14ac:dyDescent="0.2">
      <c r="B31" s="64" t="s">
        <v>189</v>
      </c>
      <c r="C31" s="65">
        <f>(C7*C13+C8*C13+C9*C14)*C5</f>
        <v>15480</v>
      </c>
      <c r="E31" s="49"/>
      <c r="F31" t="s">
        <v>245</v>
      </c>
    </row>
    <row r="32" spans="2:6" x14ac:dyDescent="0.2">
      <c r="B32" s="64" t="s">
        <v>190</v>
      </c>
      <c r="C32" s="66">
        <f>SUM(C30:C31)</f>
        <v>37080</v>
      </c>
      <c r="E32" s="15" t="s">
        <v>262</v>
      </c>
    </row>
    <row r="33" spans="2:7" ht="17" thickBot="1" x14ac:dyDescent="0.25">
      <c r="B33" s="67" t="s">
        <v>191</v>
      </c>
      <c r="C33" s="68">
        <f>C32/C2</f>
        <v>1373.3333333333333</v>
      </c>
      <c r="F33" t="s">
        <v>269</v>
      </c>
    </row>
    <row r="34" spans="2:7" ht="17" thickBot="1" x14ac:dyDescent="0.25"/>
    <row r="35" spans="2:7" x14ac:dyDescent="0.2">
      <c r="B35" s="54" t="s">
        <v>193</v>
      </c>
      <c r="C35" s="55"/>
    </row>
    <row r="36" spans="2:7" x14ac:dyDescent="0.2">
      <c r="B36" s="56" t="s">
        <v>194</v>
      </c>
      <c r="C36" s="57">
        <f>C5*C10*C15+C3*C11*C15</f>
        <v>10332</v>
      </c>
      <c r="F36" t="s">
        <v>258</v>
      </c>
    </row>
    <row r="37" spans="2:7" x14ac:dyDescent="0.2">
      <c r="B37" s="56" t="s">
        <v>195</v>
      </c>
      <c r="C37" s="57">
        <f>C16*C19+C17*C20</f>
        <v>9100</v>
      </c>
      <c r="F37" t="s">
        <v>246</v>
      </c>
    </row>
    <row r="38" spans="2:7" x14ac:dyDescent="0.2">
      <c r="B38" s="56" t="s">
        <v>136</v>
      </c>
      <c r="C38" s="58">
        <v>3500</v>
      </c>
    </row>
    <row r="39" spans="2:7" x14ac:dyDescent="0.2">
      <c r="B39" s="56" t="s">
        <v>196</v>
      </c>
      <c r="C39" s="58">
        <v>3000</v>
      </c>
      <c r="G39" t="s">
        <v>197</v>
      </c>
    </row>
    <row r="40" spans="2:7" x14ac:dyDescent="0.2">
      <c r="B40" s="56" t="s">
        <v>198</v>
      </c>
      <c r="C40" s="58">
        <v>2000</v>
      </c>
    </row>
    <row r="41" spans="2:7" x14ac:dyDescent="0.2">
      <c r="B41" s="56" t="s">
        <v>199</v>
      </c>
      <c r="C41" s="58">
        <v>700</v>
      </c>
      <c r="G41" t="s">
        <v>200</v>
      </c>
    </row>
    <row r="42" spans="2:7" x14ac:dyDescent="0.2">
      <c r="B42" s="56" t="s">
        <v>201</v>
      </c>
      <c r="C42" s="58">
        <v>550</v>
      </c>
      <c r="G42" t="s">
        <v>202</v>
      </c>
    </row>
    <row r="43" spans="2:7" x14ac:dyDescent="0.2">
      <c r="B43" s="56" t="s">
        <v>137</v>
      </c>
      <c r="C43" s="57">
        <f>C12*C23*C22/1000</f>
        <v>201.6</v>
      </c>
      <c r="F43" t="s">
        <v>266</v>
      </c>
      <c r="G43" t="s">
        <v>203</v>
      </c>
    </row>
    <row r="44" spans="2:7" x14ac:dyDescent="0.2">
      <c r="B44" s="56" t="s">
        <v>204</v>
      </c>
      <c r="C44" s="57">
        <f>C32*C25/100 * C24/100</f>
        <v>222.48</v>
      </c>
      <c r="F44" t="s">
        <v>270</v>
      </c>
      <c r="G44" t="s">
        <v>205</v>
      </c>
    </row>
    <row r="45" spans="2:7" x14ac:dyDescent="0.2">
      <c r="B45" s="56" t="s">
        <v>206</v>
      </c>
      <c r="C45" s="58">
        <v>300</v>
      </c>
      <c r="G45" t="s">
        <v>207</v>
      </c>
    </row>
    <row r="46" spans="2:7" x14ac:dyDescent="0.2">
      <c r="B46" s="56" t="s">
        <v>208</v>
      </c>
      <c r="C46" s="58">
        <v>200</v>
      </c>
      <c r="G46" t="s">
        <v>209</v>
      </c>
    </row>
    <row r="47" spans="2:7" x14ac:dyDescent="0.2">
      <c r="B47" s="56" t="s">
        <v>210</v>
      </c>
      <c r="C47" s="58">
        <v>150</v>
      </c>
      <c r="G47" t="s">
        <v>211</v>
      </c>
    </row>
    <row r="48" spans="2:7" x14ac:dyDescent="0.2">
      <c r="B48" s="56" t="s">
        <v>212</v>
      </c>
      <c r="C48" s="58">
        <v>100</v>
      </c>
      <c r="G48" t="s">
        <v>213</v>
      </c>
    </row>
    <row r="49" spans="2:7" x14ac:dyDescent="0.2">
      <c r="B49" s="56" t="s">
        <v>214</v>
      </c>
      <c r="C49" s="58">
        <v>150</v>
      </c>
      <c r="G49" t="s">
        <v>215</v>
      </c>
    </row>
    <row r="50" spans="2:7" x14ac:dyDescent="0.2">
      <c r="B50" s="56" t="s">
        <v>187</v>
      </c>
      <c r="C50" s="58">
        <f>(C16+C17)*C26</f>
        <v>100</v>
      </c>
    </row>
    <row r="51" spans="2:7" x14ac:dyDescent="0.2">
      <c r="B51" s="56" t="s">
        <v>216</v>
      </c>
      <c r="C51" s="58">
        <v>50</v>
      </c>
    </row>
    <row r="52" spans="2:7" x14ac:dyDescent="0.2">
      <c r="B52" s="56" t="s">
        <v>217</v>
      </c>
      <c r="C52" s="58">
        <v>50</v>
      </c>
      <c r="G52" t="s">
        <v>218</v>
      </c>
    </row>
    <row r="53" spans="2:7" x14ac:dyDescent="0.2">
      <c r="B53" s="56" t="s">
        <v>219</v>
      </c>
      <c r="C53" s="58">
        <v>90</v>
      </c>
    </row>
    <row r="54" spans="2:7" x14ac:dyDescent="0.2">
      <c r="B54" s="56" t="s">
        <v>220</v>
      </c>
      <c r="C54" s="57">
        <f>(C3*C4+C5*C6)*C27*C21</f>
        <v>315</v>
      </c>
      <c r="F54" t="s">
        <v>272</v>
      </c>
      <c r="G54" t="s">
        <v>221</v>
      </c>
    </row>
    <row r="55" spans="2:7" x14ac:dyDescent="0.2">
      <c r="B55" s="56" t="s">
        <v>222</v>
      </c>
      <c r="C55" s="58">
        <v>50</v>
      </c>
      <c r="G55" t="s">
        <v>223</v>
      </c>
    </row>
    <row r="56" spans="2:7" x14ac:dyDescent="0.2">
      <c r="B56" s="59" t="s">
        <v>190</v>
      </c>
      <c r="C56" s="58">
        <f>SUM(C36:C55)</f>
        <v>31161.079999999998</v>
      </c>
    </row>
    <row r="57" spans="2:7" x14ac:dyDescent="0.2">
      <c r="B57" s="56" t="s">
        <v>224</v>
      </c>
      <c r="C57" s="58">
        <f>C56*0.05</f>
        <v>1558.0540000000001</v>
      </c>
      <c r="G57" t="s">
        <v>225</v>
      </c>
    </row>
    <row r="58" spans="2:7" ht="17" thickBot="1" x14ac:dyDescent="0.25">
      <c r="B58" s="60" t="s">
        <v>226</v>
      </c>
      <c r="C58" s="61">
        <f>C57+C56</f>
        <v>32719.133999999998</v>
      </c>
      <c r="E58" s="15" t="s">
        <v>273</v>
      </c>
    </row>
    <row r="61" spans="2:7" x14ac:dyDescent="0.2">
      <c r="B61" t="s">
        <v>274</v>
      </c>
      <c r="C61" s="9">
        <f>C32-C58</f>
        <v>4360.8660000000018</v>
      </c>
      <c r="E61" s="15" t="s">
        <v>277</v>
      </c>
      <c r="F61" t="s">
        <v>276</v>
      </c>
    </row>
    <row r="62" spans="2:7" x14ac:dyDescent="0.2">
      <c r="B62" t="s">
        <v>275</v>
      </c>
      <c r="C62" s="9">
        <f>100 * C61/C32</f>
        <v>11.760695792880265</v>
      </c>
      <c r="E62" s="15" t="s">
        <v>279</v>
      </c>
      <c r="F62" t="s">
        <v>278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ABFC1-4B74-4D43-A3C0-383BA4412CB5}">
  <sheetPr codeName="Feuil12"/>
  <dimension ref="A1:J37"/>
  <sheetViews>
    <sheetView workbookViewId="0">
      <selection activeCell="E53" sqref="E53"/>
    </sheetView>
  </sheetViews>
  <sheetFormatPr baseColWidth="10" defaultRowHeight="16" x14ac:dyDescent="0.2"/>
  <cols>
    <col min="1" max="1" width="25.83203125" bestFit="1" customWidth="1"/>
    <col min="2" max="2" width="32.83203125" bestFit="1" customWidth="1"/>
    <col min="3" max="3" width="12.1640625" style="9" bestFit="1" customWidth="1"/>
    <col min="4" max="5" width="10.83203125" style="9"/>
    <col min="6" max="6" width="20.33203125" style="9" customWidth="1"/>
    <col min="7" max="7" width="10.83203125" style="9"/>
    <col min="8" max="8" width="21.33203125" customWidth="1"/>
  </cols>
  <sheetData>
    <row r="1" spans="1:10" ht="52" thickBot="1" x14ac:dyDescent="0.25">
      <c r="A1" s="4" t="s">
        <v>113</v>
      </c>
      <c r="B1" s="4" t="s">
        <v>128</v>
      </c>
      <c r="C1" s="5" t="s">
        <v>129</v>
      </c>
      <c r="D1" s="30" t="s">
        <v>132</v>
      </c>
      <c r="E1" s="30" t="s">
        <v>133</v>
      </c>
      <c r="F1" s="30" t="s">
        <v>135</v>
      </c>
      <c r="G1" s="30" t="s">
        <v>134</v>
      </c>
      <c r="I1" s="107" t="s">
        <v>305</v>
      </c>
      <c r="J1" s="108">
        <v>0.25</v>
      </c>
    </row>
    <row r="2" spans="1:10" ht="17" thickBot="1" x14ac:dyDescent="0.25">
      <c r="A2" s="2" t="e">
        <f>'Récapitulatif couts recettes'!#REF!</f>
        <v>#REF!</v>
      </c>
      <c r="B2" s="2" t="e">
        <f>'Récapitulatif couts recettes'!#REF!</f>
        <v>#REF!</v>
      </c>
      <c r="C2" s="2" t="e">
        <f>'Récapitulatif couts recettes'!#REF!</f>
        <v>#REF!</v>
      </c>
      <c r="D2" s="31">
        <v>0.25</v>
      </c>
      <c r="E2" s="32" t="e">
        <f>D2*C2</f>
        <v>#REF!</v>
      </c>
      <c r="F2" s="33" t="e">
        <f>E2+C2</f>
        <v>#REF!</v>
      </c>
      <c r="G2" s="34"/>
    </row>
    <row r="3" spans="1:10" ht="17" thickBot="1" x14ac:dyDescent="0.25">
      <c r="A3" s="2" t="e">
        <f>'Récapitulatif couts recettes'!#REF!</f>
        <v>#REF!</v>
      </c>
      <c r="B3" s="2" t="e">
        <f>'Récapitulatif couts recettes'!#REF!</f>
        <v>#REF!</v>
      </c>
      <c r="C3" s="2" t="e">
        <f>'Récapitulatif couts recettes'!#REF!</f>
        <v>#REF!</v>
      </c>
      <c r="D3" s="31">
        <v>0.25</v>
      </c>
      <c r="E3" s="32" t="e">
        <f t="shared" ref="E3:E37" si="0">D3*C3</f>
        <v>#REF!</v>
      </c>
      <c r="F3" s="33" t="e">
        <f t="shared" ref="F3:F37" si="1">E3+C3</f>
        <v>#REF!</v>
      </c>
      <c r="G3" s="34"/>
    </row>
    <row r="4" spans="1:10" ht="17" thickBot="1" x14ac:dyDescent="0.25">
      <c r="A4" s="2" t="e">
        <f>'Récapitulatif couts recettes'!#REF!</f>
        <v>#REF!</v>
      </c>
      <c r="B4" s="2" t="e">
        <f>'Récapitulatif couts recettes'!#REF!</f>
        <v>#REF!</v>
      </c>
      <c r="C4" s="2" t="e">
        <f>'Récapitulatif couts recettes'!#REF!</f>
        <v>#REF!</v>
      </c>
      <c r="D4" s="31">
        <v>0.25</v>
      </c>
      <c r="E4" s="32" t="e">
        <f t="shared" si="0"/>
        <v>#REF!</v>
      </c>
      <c r="F4" s="33" t="e">
        <f t="shared" si="1"/>
        <v>#REF!</v>
      </c>
      <c r="G4" s="34"/>
    </row>
    <row r="5" spans="1:10" ht="17" thickBot="1" x14ac:dyDescent="0.25">
      <c r="A5" s="2" t="e">
        <f>'Récapitulatif couts recettes'!#REF!</f>
        <v>#REF!</v>
      </c>
      <c r="B5" s="2" t="e">
        <f>'Récapitulatif couts recettes'!#REF!</f>
        <v>#REF!</v>
      </c>
      <c r="C5" s="2" t="e">
        <f>'Récapitulatif couts recettes'!#REF!</f>
        <v>#REF!</v>
      </c>
      <c r="D5" s="31">
        <v>0.25</v>
      </c>
      <c r="E5" s="32" t="e">
        <f t="shared" si="0"/>
        <v>#REF!</v>
      </c>
      <c r="F5" s="33" t="e">
        <f t="shared" si="1"/>
        <v>#REF!</v>
      </c>
      <c r="G5" s="34"/>
    </row>
    <row r="6" spans="1:10" ht="17" thickBot="1" x14ac:dyDescent="0.25">
      <c r="A6" s="2" t="e">
        <f>'Récapitulatif couts recettes'!#REF!</f>
        <v>#REF!</v>
      </c>
      <c r="B6" s="2" t="e">
        <f>'Récapitulatif couts recettes'!#REF!</f>
        <v>#REF!</v>
      </c>
      <c r="C6" s="2" t="e">
        <f>'Récapitulatif couts recettes'!#REF!</f>
        <v>#REF!</v>
      </c>
      <c r="D6" s="31">
        <v>0.25</v>
      </c>
      <c r="E6" s="32" t="e">
        <f t="shared" si="0"/>
        <v>#REF!</v>
      </c>
      <c r="F6" s="33" t="e">
        <f t="shared" si="1"/>
        <v>#REF!</v>
      </c>
      <c r="G6" s="34"/>
    </row>
    <row r="7" spans="1:10" ht="17" thickBot="1" x14ac:dyDescent="0.25">
      <c r="A7" s="2" t="e">
        <f>'Récapitulatif couts recettes'!#REF!</f>
        <v>#REF!</v>
      </c>
      <c r="B7" s="2" t="e">
        <f>'Récapitulatif couts recettes'!#REF!</f>
        <v>#REF!</v>
      </c>
      <c r="C7" s="2" t="e">
        <f>'Récapitulatif couts recettes'!#REF!</f>
        <v>#REF!</v>
      </c>
      <c r="D7" s="31">
        <v>0.25</v>
      </c>
      <c r="E7" s="32" t="e">
        <f t="shared" si="0"/>
        <v>#REF!</v>
      </c>
      <c r="F7" s="33" t="e">
        <f t="shared" si="1"/>
        <v>#REF!</v>
      </c>
      <c r="G7" s="34"/>
    </row>
    <row r="8" spans="1:10" ht="17" thickBot="1" x14ac:dyDescent="0.25">
      <c r="A8" s="2" t="e">
        <f>'Récapitulatif couts recettes'!#REF!</f>
        <v>#REF!</v>
      </c>
      <c r="B8" s="2" t="e">
        <f>'Récapitulatif couts recettes'!#REF!</f>
        <v>#REF!</v>
      </c>
      <c r="C8" s="2" t="e">
        <f>'Récapitulatif couts recettes'!#REF!</f>
        <v>#REF!</v>
      </c>
      <c r="D8" s="31">
        <v>0.25</v>
      </c>
      <c r="E8" s="32" t="e">
        <f t="shared" si="0"/>
        <v>#REF!</v>
      </c>
      <c r="F8" s="33" t="e">
        <f t="shared" si="1"/>
        <v>#REF!</v>
      </c>
      <c r="G8" s="34"/>
    </row>
    <row r="9" spans="1:10" ht="17" thickBot="1" x14ac:dyDescent="0.25">
      <c r="A9" s="2" t="e">
        <f>'Récapitulatif couts recettes'!#REF!</f>
        <v>#REF!</v>
      </c>
      <c r="B9" s="2" t="e">
        <f>'Récapitulatif couts recettes'!#REF!</f>
        <v>#REF!</v>
      </c>
      <c r="C9" s="2" t="e">
        <f>'Récapitulatif couts recettes'!#REF!</f>
        <v>#REF!</v>
      </c>
      <c r="D9" s="31">
        <v>0.25</v>
      </c>
      <c r="E9" s="32" t="e">
        <f t="shared" si="0"/>
        <v>#REF!</v>
      </c>
      <c r="F9" s="33" t="e">
        <f t="shared" si="1"/>
        <v>#REF!</v>
      </c>
      <c r="G9" s="34"/>
    </row>
    <row r="10" spans="1:10" ht="17" thickBot="1" x14ac:dyDescent="0.25">
      <c r="A10" s="2" t="e">
        <f>'Récapitulatif couts recettes'!#REF!</f>
        <v>#REF!</v>
      </c>
      <c r="B10" s="2" t="e">
        <f>'Récapitulatif couts recettes'!#REF!</f>
        <v>#REF!</v>
      </c>
      <c r="C10" s="2" t="e">
        <f>'Récapitulatif couts recettes'!#REF!</f>
        <v>#REF!</v>
      </c>
      <c r="D10" s="31">
        <v>0.25</v>
      </c>
      <c r="E10" s="32" t="e">
        <f t="shared" si="0"/>
        <v>#REF!</v>
      </c>
      <c r="F10" s="33" t="e">
        <f t="shared" si="1"/>
        <v>#REF!</v>
      </c>
      <c r="G10" s="34"/>
    </row>
    <row r="11" spans="1:10" ht="17" thickBot="1" x14ac:dyDescent="0.25">
      <c r="A11" s="2" t="e">
        <f>'Récapitulatif couts recettes'!#REF!</f>
        <v>#REF!</v>
      </c>
      <c r="B11" s="2" t="e">
        <f>'Récapitulatif couts recettes'!#REF!</f>
        <v>#REF!</v>
      </c>
      <c r="C11" s="2" t="e">
        <f>'Récapitulatif couts recettes'!#REF!</f>
        <v>#REF!</v>
      </c>
      <c r="D11" s="31">
        <v>0.25</v>
      </c>
      <c r="E11" s="32" t="e">
        <f t="shared" si="0"/>
        <v>#REF!</v>
      </c>
      <c r="F11" s="33" t="e">
        <f t="shared" si="1"/>
        <v>#REF!</v>
      </c>
      <c r="G11" s="34"/>
    </row>
    <row r="12" spans="1:10" ht="17" thickBot="1" x14ac:dyDescent="0.25">
      <c r="A12" s="2" t="e">
        <f>'Récapitulatif couts recettes'!#REF!</f>
        <v>#REF!</v>
      </c>
      <c r="B12" s="2" t="e">
        <f>'Récapitulatif couts recettes'!#REF!</f>
        <v>#REF!</v>
      </c>
      <c r="C12" s="2" t="e">
        <f>'Récapitulatif couts recettes'!#REF!</f>
        <v>#REF!</v>
      </c>
      <c r="D12" s="31">
        <v>0.25</v>
      </c>
      <c r="E12" s="32" t="e">
        <f t="shared" si="0"/>
        <v>#REF!</v>
      </c>
      <c r="F12" s="33" t="e">
        <f t="shared" si="1"/>
        <v>#REF!</v>
      </c>
      <c r="G12" s="34"/>
    </row>
    <row r="13" spans="1:10" ht="17" thickBot="1" x14ac:dyDescent="0.25">
      <c r="A13" s="2" t="e">
        <f>'Récapitulatif couts recettes'!#REF!</f>
        <v>#REF!</v>
      </c>
      <c r="B13" s="2" t="e">
        <f>'Récapitulatif couts recettes'!#REF!</f>
        <v>#REF!</v>
      </c>
      <c r="C13" s="2" t="e">
        <f>'Récapitulatif couts recettes'!#REF!</f>
        <v>#REF!</v>
      </c>
      <c r="D13" s="31">
        <v>0.25</v>
      </c>
      <c r="E13" s="32" t="e">
        <f t="shared" si="0"/>
        <v>#REF!</v>
      </c>
      <c r="F13" s="33" t="e">
        <f t="shared" si="1"/>
        <v>#REF!</v>
      </c>
      <c r="G13" s="34"/>
    </row>
    <row r="14" spans="1:10" ht="17" thickBot="1" x14ac:dyDescent="0.25">
      <c r="A14" s="2" t="e">
        <f>'Récapitulatif couts recettes'!#REF!</f>
        <v>#REF!</v>
      </c>
      <c r="B14" s="2" t="e">
        <f>'Récapitulatif couts recettes'!#REF!</f>
        <v>#REF!</v>
      </c>
      <c r="C14" s="2" t="e">
        <f>'Récapitulatif couts recettes'!#REF!</f>
        <v>#REF!</v>
      </c>
      <c r="D14" s="31">
        <v>0.25</v>
      </c>
      <c r="E14" s="32" t="e">
        <f t="shared" si="0"/>
        <v>#REF!</v>
      </c>
      <c r="F14" s="33" t="e">
        <f t="shared" si="1"/>
        <v>#REF!</v>
      </c>
      <c r="G14" s="34"/>
    </row>
    <row r="15" spans="1:10" ht="17" thickBot="1" x14ac:dyDescent="0.25">
      <c r="A15" s="2" t="e">
        <f>'Récapitulatif couts recettes'!#REF!</f>
        <v>#REF!</v>
      </c>
      <c r="B15" s="2" t="e">
        <f>'Récapitulatif couts recettes'!#REF!</f>
        <v>#REF!</v>
      </c>
      <c r="C15" s="2" t="e">
        <f>'Récapitulatif couts recettes'!#REF!</f>
        <v>#REF!</v>
      </c>
      <c r="D15" s="31">
        <v>0.25</v>
      </c>
      <c r="E15" s="32" t="e">
        <f t="shared" si="0"/>
        <v>#REF!</v>
      </c>
      <c r="F15" s="33" t="e">
        <f t="shared" si="1"/>
        <v>#REF!</v>
      </c>
      <c r="G15" s="34"/>
    </row>
    <row r="16" spans="1:10" ht="17" thickBot="1" x14ac:dyDescent="0.25">
      <c r="A16" s="2" t="e">
        <f>'Récapitulatif couts recettes'!#REF!</f>
        <v>#REF!</v>
      </c>
      <c r="B16" s="2" t="e">
        <f>'Récapitulatif couts recettes'!#REF!</f>
        <v>#REF!</v>
      </c>
      <c r="C16" s="2" t="e">
        <f>'Récapitulatif couts recettes'!#REF!</f>
        <v>#REF!</v>
      </c>
      <c r="D16" s="31">
        <v>0.25</v>
      </c>
      <c r="E16" s="32" t="e">
        <f t="shared" si="0"/>
        <v>#REF!</v>
      </c>
      <c r="F16" s="33" t="e">
        <f t="shared" si="1"/>
        <v>#REF!</v>
      </c>
      <c r="G16" s="34"/>
    </row>
    <row r="17" spans="1:7" ht="17" thickBot="1" x14ac:dyDescent="0.25">
      <c r="A17" s="2" t="e">
        <f>'Récapitulatif couts recettes'!#REF!</f>
        <v>#REF!</v>
      </c>
      <c r="B17" s="2" t="e">
        <f>'Récapitulatif couts recettes'!#REF!</f>
        <v>#REF!</v>
      </c>
      <c r="C17" s="2" t="e">
        <f>'Récapitulatif couts recettes'!#REF!</f>
        <v>#REF!</v>
      </c>
      <c r="D17" s="31">
        <v>0.25</v>
      </c>
      <c r="E17" s="32" t="e">
        <f t="shared" si="0"/>
        <v>#REF!</v>
      </c>
      <c r="F17" s="33" t="e">
        <f t="shared" si="1"/>
        <v>#REF!</v>
      </c>
      <c r="G17" s="34"/>
    </row>
    <row r="18" spans="1:7" ht="17" thickBot="1" x14ac:dyDescent="0.25">
      <c r="A18" s="2" t="e">
        <f>'Récapitulatif couts recettes'!#REF!</f>
        <v>#REF!</v>
      </c>
      <c r="B18" s="2" t="e">
        <f>'Récapitulatif couts recettes'!#REF!</f>
        <v>#REF!</v>
      </c>
      <c r="C18" s="2" t="e">
        <f>'Récapitulatif couts recettes'!#REF!</f>
        <v>#REF!</v>
      </c>
      <c r="D18" s="31">
        <v>0.25</v>
      </c>
      <c r="E18" s="32" t="e">
        <f t="shared" si="0"/>
        <v>#REF!</v>
      </c>
      <c r="F18" s="33" t="e">
        <f t="shared" si="1"/>
        <v>#REF!</v>
      </c>
      <c r="G18" s="34"/>
    </row>
    <row r="19" spans="1:7" ht="17" thickBot="1" x14ac:dyDescent="0.25">
      <c r="A19" s="2" t="e">
        <f>'Récapitulatif couts recettes'!#REF!</f>
        <v>#REF!</v>
      </c>
      <c r="B19" s="2" t="e">
        <f>'Récapitulatif couts recettes'!#REF!</f>
        <v>#REF!</v>
      </c>
      <c r="C19" s="2" t="e">
        <f>'Récapitulatif couts recettes'!#REF!</f>
        <v>#REF!</v>
      </c>
      <c r="D19" s="31">
        <v>0.25</v>
      </c>
      <c r="E19" s="32" t="e">
        <f t="shared" si="0"/>
        <v>#REF!</v>
      </c>
      <c r="F19" s="33" t="e">
        <f t="shared" si="1"/>
        <v>#REF!</v>
      </c>
      <c r="G19" s="34"/>
    </row>
    <row r="20" spans="1:7" ht="17" thickBot="1" x14ac:dyDescent="0.25">
      <c r="A20" s="2" t="e">
        <f>'Récapitulatif couts recettes'!#REF!</f>
        <v>#REF!</v>
      </c>
      <c r="B20" s="2" t="e">
        <f>'Récapitulatif couts recettes'!#REF!</f>
        <v>#REF!</v>
      </c>
      <c r="C20" s="2" t="e">
        <f>'Récapitulatif couts recettes'!#REF!</f>
        <v>#REF!</v>
      </c>
      <c r="D20" s="31">
        <v>0.25</v>
      </c>
      <c r="E20" s="32" t="e">
        <f t="shared" si="0"/>
        <v>#REF!</v>
      </c>
      <c r="F20" s="33" t="e">
        <f t="shared" si="1"/>
        <v>#REF!</v>
      </c>
      <c r="G20" s="34"/>
    </row>
    <row r="21" spans="1:7" ht="17" thickBot="1" x14ac:dyDescent="0.25">
      <c r="A21" s="2" t="e">
        <f>'Récapitulatif couts recettes'!#REF!</f>
        <v>#REF!</v>
      </c>
      <c r="B21" s="2" t="e">
        <f>'Récapitulatif couts recettes'!#REF!</f>
        <v>#REF!</v>
      </c>
      <c r="C21" s="2" t="e">
        <f>'Récapitulatif couts recettes'!#REF!</f>
        <v>#REF!</v>
      </c>
      <c r="D21" s="31">
        <v>0.25</v>
      </c>
      <c r="E21" s="32" t="e">
        <f t="shared" si="0"/>
        <v>#REF!</v>
      </c>
      <c r="F21" s="33" t="e">
        <f t="shared" si="1"/>
        <v>#REF!</v>
      </c>
      <c r="G21" s="34"/>
    </row>
    <row r="22" spans="1:7" ht="17" thickBot="1" x14ac:dyDescent="0.25">
      <c r="A22" s="2" t="e">
        <f>'Récapitulatif couts recettes'!#REF!</f>
        <v>#REF!</v>
      </c>
      <c r="B22" s="2" t="e">
        <f>'Récapitulatif couts recettes'!#REF!</f>
        <v>#REF!</v>
      </c>
      <c r="C22" s="2" t="e">
        <f>'Récapitulatif couts recettes'!#REF!</f>
        <v>#REF!</v>
      </c>
      <c r="D22" s="31">
        <v>0.25</v>
      </c>
      <c r="E22" s="32" t="e">
        <f t="shared" si="0"/>
        <v>#REF!</v>
      </c>
      <c r="F22" s="33" t="e">
        <f t="shared" si="1"/>
        <v>#REF!</v>
      </c>
      <c r="G22" s="34"/>
    </row>
    <row r="23" spans="1:7" ht="17" thickBot="1" x14ac:dyDescent="0.25">
      <c r="A23" s="2" t="e">
        <f>'Récapitulatif couts recettes'!#REF!</f>
        <v>#REF!</v>
      </c>
      <c r="B23" s="2" t="e">
        <f>'Récapitulatif couts recettes'!#REF!</f>
        <v>#REF!</v>
      </c>
      <c r="C23" s="2" t="e">
        <f>'Récapitulatif couts recettes'!#REF!</f>
        <v>#REF!</v>
      </c>
      <c r="D23" s="31">
        <v>0.25</v>
      </c>
      <c r="E23" s="32" t="e">
        <f t="shared" si="0"/>
        <v>#REF!</v>
      </c>
      <c r="F23" s="33" t="e">
        <f t="shared" si="1"/>
        <v>#REF!</v>
      </c>
      <c r="G23" s="34"/>
    </row>
    <row r="24" spans="1:7" ht="17" thickBot="1" x14ac:dyDescent="0.25">
      <c r="A24" s="2" t="e">
        <f>'Récapitulatif couts recettes'!#REF!</f>
        <v>#REF!</v>
      </c>
      <c r="B24" s="2" t="e">
        <f>'Récapitulatif couts recettes'!#REF!</f>
        <v>#REF!</v>
      </c>
      <c r="C24" s="2" t="e">
        <f>'Récapitulatif couts recettes'!#REF!</f>
        <v>#REF!</v>
      </c>
      <c r="D24" s="31">
        <v>0.25</v>
      </c>
      <c r="E24" s="32" t="e">
        <f t="shared" si="0"/>
        <v>#REF!</v>
      </c>
      <c r="F24" s="33" t="e">
        <f t="shared" si="1"/>
        <v>#REF!</v>
      </c>
      <c r="G24" s="34"/>
    </row>
    <row r="25" spans="1:7" ht="17" thickBot="1" x14ac:dyDescent="0.25">
      <c r="A25" s="2" t="e">
        <f>'Récapitulatif couts recettes'!#REF!</f>
        <v>#REF!</v>
      </c>
      <c r="B25" s="2" t="e">
        <f>'Récapitulatif couts recettes'!#REF!</f>
        <v>#REF!</v>
      </c>
      <c r="C25" s="2" t="e">
        <f>'Récapitulatif couts recettes'!#REF!</f>
        <v>#REF!</v>
      </c>
      <c r="D25" s="31">
        <v>0.25</v>
      </c>
      <c r="E25" s="32" t="e">
        <f t="shared" si="0"/>
        <v>#REF!</v>
      </c>
      <c r="F25" s="33" t="e">
        <f t="shared" si="1"/>
        <v>#REF!</v>
      </c>
      <c r="G25" s="34"/>
    </row>
    <row r="26" spans="1:7" ht="17" thickBot="1" x14ac:dyDescent="0.25">
      <c r="A26" s="2" t="e">
        <f>'Récapitulatif couts recettes'!#REF!</f>
        <v>#REF!</v>
      </c>
      <c r="B26" s="2" t="e">
        <f>'Récapitulatif couts recettes'!#REF!</f>
        <v>#REF!</v>
      </c>
      <c r="C26" s="2" t="e">
        <f>'Récapitulatif couts recettes'!#REF!</f>
        <v>#REF!</v>
      </c>
      <c r="D26" s="31">
        <v>0.25</v>
      </c>
      <c r="E26" s="32" t="e">
        <f t="shared" si="0"/>
        <v>#REF!</v>
      </c>
      <c r="F26" s="33" t="e">
        <f t="shared" si="1"/>
        <v>#REF!</v>
      </c>
      <c r="G26" s="34"/>
    </row>
    <row r="27" spans="1:7" ht="17" thickBot="1" x14ac:dyDescent="0.25">
      <c r="A27" s="2" t="e">
        <f>'Récapitulatif couts recettes'!#REF!</f>
        <v>#REF!</v>
      </c>
      <c r="B27" s="2" t="e">
        <f>'Récapitulatif couts recettes'!#REF!</f>
        <v>#REF!</v>
      </c>
      <c r="C27" s="2" t="e">
        <f>'Récapitulatif couts recettes'!#REF!</f>
        <v>#REF!</v>
      </c>
      <c r="D27" s="31">
        <v>0.25</v>
      </c>
      <c r="E27" s="32" t="e">
        <f t="shared" si="0"/>
        <v>#REF!</v>
      </c>
      <c r="F27" s="33" t="e">
        <f t="shared" si="1"/>
        <v>#REF!</v>
      </c>
      <c r="G27" s="34"/>
    </row>
    <row r="28" spans="1:7" ht="17" thickBot="1" x14ac:dyDescent="0.25">
      <c r="A28" s="2" t="e">
        <f>'Récapitulatif couts recettes'!#REF!</f>
        <v>#REF!</v>
      </c>
      <c r="B28" s="2" t="e">
        <f>'Récapitulatif couts recettes'!#REF!</f>
        <v>#REF!</v>
      </c>
      <c r="C28" s="2" t="e">
        <f>'Récapitulatif couts recettes'!#REF!</f>
        <v>#REF!</v>
      </c>
      <c r="D28" s="31">
        <v>0.25</v>
      </c>
      <c r="E28" s="32" t="e">
        <f t="shared" si="0"/>
        <v>#REF!</v>
      </c>
      <c r="F28" s="33" t="e">
        <f t="shared" si="1"/>
        <v>#REF!</v>
      </c>
      <c r="G28" s="34"/>
    </row>
    <row r="29" spans="1:7" ht="17" thickBot="1" x14ac:dyDescent="0.25">
      <c r="A29" s="2" t="e">
        <f>'Récapitulatif couts recettes'!#REF!</f>
        <v>#REF!</v>
      </c>
      <c r="B29" s="2" t="e">
        <f>'Récapitulatif couts recettes'!#REF!</f>
        <v>#REF!</v>
      </c>
      <c r="C29" s="2" t="e">
        <f>'Récapitulatif couts recettes'!#REF!</f>
        <v>#REF!</v>
      </c>
      <c r="D29" s="31">
        <v>0.25</v>
      </c>
      <c r="E29" s="32" t="e">
        <f t="shared" si="0"/>
        <v>#REF!</v>
      </c>
      <c r="F29" s="33" t="e">
        <f t="shared" si="1"/>
        <v>#REF!</v>
      </c>
      <c r="G29" s="34"/>
    </row>
    <row r="30" spans="1:7" ht="17" thickBot="1" x14ac:dyDescent="0.25">
      <c r="A30" s="2" t="e">
        <f>'Récapitulatif couts recettes'!#REF!</f>
        <v>#REF!</v>
      </c>
      <c r="B30" s="2" t="e">
        <f>'Récapitulatif couts recettes'!#REF!</f>
        <v>#REF!</v>
      </c>
      <c r="C30" s="2" t="e">
        <f>'Récapitulatif couts recettes'!#REF!</f>
        <v>#REF!</v>
      </c>
      <c r="D30" s="31">
        <v>0.25</v>
      </c>
      <c r="E30" s="32" t="e">
        <f t="shared" si="0"/>
        <v>#REF!</v>
      </c>
      <c r="F30" s="33" t="e">
        <f t="shared" si="1"/>
        <v>#REF!</v>
      </c>
      <c r="G30" s="34"/>
    </row>
    <row r="31" spans="1:7" ht="17" thickBot="1" x14ac:dyDescent="0.25">
      <c r="A31" s="2" t="e">
        <f>'Récapitulatif couts recettes'!#REF!</f>
        <v>#REF!</v>
      </c>
      <c r="B31" s="2" t="e">
        <f>'Récapitulatif couts recettes'!#REF!</f>
        <v>#REF!</v>
      </c>
      <c r="C31" s="2" t="e">
        <f>'Récapitulatif couts recettes'!#REF!</f>
        <v>#REF!</v>
      </c>
      <c r="D31" s="31">
        <v>0.25</v>
      </c>
      <c r="E31" s="32" t="e">
        <f t="shared" si="0"/>
        <v>#REF!</v>
      </c>
      <c r="F31" s="33" t="e">
        <f t="shared" si="1"/>
        <v>#REF!</v>
      </c>
      <c r="G31" s="34"/>
    </row>
    <row r="32" spans="1:7" ht="17" thickBot="1" x14ac:dyDescent="0.25">
      <c r="A32" s="2" t="e">
        <f>'Récapitulatif couts recettes'!#REF!</f>
        <v>#REF!</v>
      </c>
      <c r="B32" s="2" t="e">
        <f>'Récapitulatif couts recettes'!#REF!</f>
        <v>#REF!</v>
      </c>
      <c r="C32" s="2" t="e">
        <f>'Récapitulatif couts recettes'!#REF!</f>
        <v>#REF!</v>
      </c>
      <c r="D32" s="31">
        <v>0.25</v>
      </c>
      <c r="E32" s="32" t="e">
        <f t="shared" si="0"/>
        <v>#REF!</v>
      </c>
      <c r="F32" s="33" t="e">
        <f t="shared" si="1"/>
        <v>#REF!</v>
      </c>
      <c r="G32" s="34"/>
    </row>
    <row r="33" spans="1:7" ht="17" thickBot="1" x14ac:dyDescent="0.25">
      <c r="A33" s="2" t="e">
        <f>'Récapitulatif couts recettes'!#REF!</f>
        <v>#REF!</v>
      </c>
      <c r="B33" s="2" t="e">
        <f>'Récapitulatif couts recettes'!#REF!</f>
        <v>#REF!</v>
      </c>
      <c r="C33" s="2" t="e">
        <f>'Récapitulatif couts recettes'!#REF!</f>
        <v>#REF!</v>
      </c>
      <c r="D33" s="31">
        <v>0.25</v>
      </c>
      <c r="E33" s="32" t="e">
        <f t="shared" si="0"/>
        <v>#REF!</v>
      </c>
      <c r="F33" s="33" t="e">
        <f t="shared" si="1"/>
        <v>#REF!</v>
      </c>
      <c r="G33" s="34"/>
    </row>
    <row r="34" spans="1:7" ht="17" thickBot="1" x14ac:dyDescent="0.25">
      <c r="A34" s="2" t="e">
        <f>'Récapitulatif couts recettes'!#REF!</f>
        <v>#REF!</v>
      </c>
      <c r="B34" s="2" t="e">
        <f>'Récapitulatif couts recettes'!#REF!</f>
        <v>#REF!</v>
      </c>
      <c r="C34" s="2" t="e">
        <f>'Récapitulatif couts recettes'!#REF!</f>
        <v>#REF!</v>
      </c>
      <c r="D34" s="31">
        <v>0.25</v>
      </c>
      <c r="E34" s="32" t="e">
        <f t="shared" si="0"/>
        <v>#REF!</v>
      </c>
      <c r="F34" s="33" t="e">
        <f t="shared" si="1"/>
        <v>#REF!</v>
      </c>
      <c r="G34" s="34"/>
    </row>
    <row r="35" spans="1:7" ht="17" thickBot="1" x14ac:dyDescent="0.25">
      <c r="A35" s="2" t="e">
        <f>'Récapitulatif couts recettes'!#REF!</f>
        <v>#REF!</v>
      </c>
      <c r="B35" s="2" t="e">
        <f>'Récapitulatif couts recettes'!#REF!</f>
        <v>#REF!</v>
      </c>
      <c r="C35" s="2" t="e">
        <f>'Récapitulatif couts recettes'!#REF!</f>
        <v>#REF!</v>
      </c>
      <c r="D35" s="31">
        <v>0.25</v>
      </c>
      <c r="E35" s="32" t="e">
        <f t="shared" si="0"/>
        <v>#REF!</v>
      </c>
      <c r="F35" s="33" t="e">
        <f t="shared" si="1"/>
        <v>#REF!</v>
      </c>
      <c r="G35" s="34"/>
    </row>
    <row r="36" spans="1:7" ht="17" thickBot="1" x14ac:dyDescent="0.25">
      <c r="A36" s="2" t="e">
        <f>'Récapitulatif couts recettes'!#REF!</f>
        <v>#REF!</v>
      </c>
      <c r="B36" s="2" t="e">
        <f>'Récapitulatif couts recettes'!#REF!</f>
        <v>#REF!</v>
      </c>
      <c r="C36" s="2" t="e">
        <f>'Récapitulatif couts recettes'!#REF!</f>
        <v>#REF!</v>
      </c>
      <c r="D36" s="31">
        <v>0.25</v>
      </c>
      <c r="E36" s="32" t="e">
        <f t="shared" si="0"/>
        <v>#REF!</v>
      </c>
      <c r="F36" s="33" t="e">
        <f t="shared" si="1"/>
        <v>#REF!</v>
      </c>
      <c r="G36" s="34"/>
    </row>
    <row r="37" spans="1:7" x14ac:dyDescent="0.2">
      <c r="A37" s="2" t="e">
        <f>'Récapitulatif couts recettes'!#REF!</f>
        <v>#REF!</v>
      </c>
      <c r="B37" s="2" t="e">
        <f>'Récapitulatif couts recettes'!#REF!</f>
        <v>#REF!</v>
      </c>
      <c r="C37" s="2" t="e">
        <f>'Récapitulatif couts recettes'!#REF!</f>
        <v>#REF!</v>
      </c>
      <c r="D37" s="31">
        <v>0.25</v>
      </c>
      <c r="E37" s="32" t="e">
        <f t="shared" si="0"/>
        <v>#REF!</v>
      </c>
      <c r="F37" s="33" t="e">
        <f t="shared" si="1"/>
        <v>#REF!</v>
      </c>
      <c r="G37" s="3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PVR_Raffraichir" altText="Raffraichir">
                <anchor moveWithCells="1" sizeWithCells="1">
                  <from>
                    <xdr:col>7</xdr:col>
                    <xdr:colOff>50800</xdr:colOff>
                    <xdr:row>0</xdr:row>
                    <xdr:rowOff>203200</xdr:rowOff>
                  </from>
                  <to>
                    <xdr:col>7</xdr:col>
                    <xdr:colOff>1574800</xdr:colOff>
                    <xdr:row>0</xdr:row>
                    <xdr:rowOff>584200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14</vt:i4>
      </vt:variant>
      <vt:variant>
        <vt:lpstr>Plages nommées</vt:lpstr>
      </vt:variant>
      <vt:variant>
        <vt:i4>6</vt:i4>
      </vt:variant>
    </vt:vector>
  </HeadingPairs>
  <TitlesOfParts>
    <vt:vector size="20" baseType="lpstr">
      <vt:lpstr>Nomenclature</vt:lpstr>
      <vt:lpstr>Unités</vt:lpstr>
      <vt:lpstr>Fournisseurs</vt:lpstr>
      <vt:lpstr>Produits</vt:lpstr>
      <vt:lpstr>Produits par producteur</vt:lpstr>
      <vt:lpstr>Produits par producteur et R</vt:lpstr>
      <vt:lpstr>Recettes</vt:lpstr>
      <vt:lpstr>Récapitulatif couts recettes</vt:lpstr>
      <vt:lpstr>Prix de ventes recettes</vt:lpstr>
      <vt:lpstr>Menu</vt:lpstr>
      <vt:lpstr>Semainier ventes</vt:lpstr>
      <vt:lpstr>Stocks</vt:lpstr>
      <vt:lpstr>Bilan mensuel creperie</vt:lpstr>
      <vt:lpstr>Prix de ventes recettes (2)</vt:lpstr>
      <vt:lpstr>TAllergenes</vt:lpstr>
      <vt:lpstr>TFournisseurs</vt:lpstr>
      <vt:lpstr>TProduits</vt:lpstr>
      <vt:lpstr>TRecettes</vt:lpstr>
      <vt:lpstr>TTypesRecettes</vt:lpstr>
      <vt:lpstr>TUnités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jean-paul vallée</dc:creator>
  <cp:lastModifiedBy>jean-paul vallée</cp:lastModifiedBy>
  <dcterms:created xsi:type="dcterms:W3CDTF">2023-11-16T13:47:38Z</dcterms:created>
  <dcterms:modified xsi:type="dcterms:W3CDTF">2025-03-08T09:42:16Z</dcterms:modified>
</cp:coreProperties>
</file>