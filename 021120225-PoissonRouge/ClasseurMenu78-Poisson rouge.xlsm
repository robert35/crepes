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166925"/>
  <mc:AlternateContent xmlns:mc="http://schemas.openxmlformats.org/markup-compatibility/2006">
    <mc:Choice Requires="x15">
      <x15ac:absPath xmlns:x15ac="http://schemas.microsoft.com/office/spreadsheetml/2010/11/ac" url="/Volumes/PHILIPSUSB/menu/"/>
    </mc:Choice>
  </mc:AlternateContent>
  <xr:revisionPtr revIDLastSave="0" documentId="8_{BF7925FA-5EA9-BF43-A3E8-A0A59AA2DE2C}" xr6:coauthVersionLast="47" xr6:coauthVersionMax="47" xr10:uidLastSave="{00000000-0000-0000-0000-000000000000}"/>
  <bookViews>
    <workbookView xWindow="880" yWindow="660" windowWidth="40920" windowHeight="24540" activeTab="6" xr2:uid="{06A8A658-A668-0344-A280-0CE6226CF3CF}"/>
  </bookViews>
  <sheets>
    <sheet name="Nomenclature" sheetId="2" r:id="rId1"/>
    <sheet name="Unités" sheetId="12" r:id="rId2"/>
    <sheet name="Fournisseurs" sheetId="4" r:id="rId3"/>
    <sheet name="Produits" sheetId="1" r:id="rId4"/>
    <sheet name="Produits par producteur" sheetId="14" r:id="rId5"/>
    <sheet name="Produits par producteur et R" sheetId="15" r:id="rId6"/>
    <sheet name="Recettes" sheetId="3" r:id="rId7"/>
    <sheet name="Récapitulatif couts recettes" sheetId="5" r:id="rId8"/>
    <sheet name="Prix de ventes recettes" sheetId="10" r:id="rId9"/>
    <sheet name="Menu" sheetId="11" r:id="rId10"/>
    <sheet name="Semainier ventes" sheetId="9" r:id="rId11"/>
    <sheet name="Stocks" sheetId="6" r:id="rId12"/>
    <sheet name="Bilan mensuel creperie" sheetId="8" r:id="rId13"/>
    <sheet name="Prix de ventes recettes (2)" sheetId="13" r:id="rId14"/>
  </sheets>
  <functionGroups builtInGroupCount="19"/>
  <definedNames>
    <definedName name="_xlnm._FilterDatabase" localSheetId="3" hidden="1">Produits!$A$1:$DD$72</definedName>
    <definedName name="_xlnm._FilterDatabase" localSheetId="6" hidden="1">Recettes!$A$1:$L$1</definedName>
    <definedName name="TAllergenes">Nomenclature!$E$2:$E$18</definedName>
    <definedName name="TFournisseurs">Nomenclature!$B$2:$B$21</definedName>
    <definedName name="TProduits">Nomenclature!$A$2:$A$104</definedName>
    <definedName name="TRecette">'Récapitulatif couts recettes'!#REF!</definedName>
    <definedName name="TRecettes">'Récapitulatif couts recettes'!$B:$B</definedName>
    <definedName name="TTypesRecettes">Nomenclature!$D$2:$D$15</definedName>
    <definedName name="TUnités">Nomenclature!$C$2:$C$11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40" i="3" l="1"/>
  <c r="F340" i="3" s="1"/>
  <c r="D340" i="3"/>
  <c r="D339" i="3"/>
  <c r="E339" i="3"/>
  <c r="F339" i="3"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6" i="10"/>
  <c r="F36" i="10" s="1"/>
  <c r="E38" i="10"/>
  <c r="F38" i="10" s="1"/>
  <c r="E35" i="10"/>
  <c r="F35" i="10" s="1"/>
  <c r="E34" i="10"/>
  <c r="F34" i="10" s="1"/>
  <c r="E37" i="10"/>
  <c r="F37" i="10" s="1"/>
  <c r="E17" i="10"/>
  <c r="F17" i="10" s="1"/>
  <c r="E16" i="10"/>
  <c r="F16" i="10" s="1"/>
  <c r="E15" i="10"/>
  <c r="F15" i="10" s="1"/>
  <c r="E14" i="10"/>
  <c r="F14" i="10" s="1"/>
  <c r="E18" i="10"/>
  <c r="F18" i="10" s="1"/>
  <c r="E12" i="10"/>
  <c r="F12" i="10" s="1"/>
  <c r="E11" i="10"/>
  <c r="F11" i="10" s="1"/>
  <c r="E13" i="10"/>
  <c r="F13" i="10" s="1"/>
  <c r="E25" i="10"/>
  <c r="F25" i="10" s="1"/>
  <c r="E24" i="10"/>
  <c r="F24" i="10" s="1"/>
  <c r="E23" i="10"/>
  <c r="F23" i="10" s="1"/>
  <c r="E21" i="10"/>
  <c r="F21" i="10" s="1"/>
  <c r="E22" i="10"/>
  <c r="F22" i="10" s="1"/>
  <c r="E19" i="10"/>
  <c r="F19" i="10" s="1"/>
  <c r="E20" i="10"/>
  <c r="F20" i="10" s="1"/>
  <c r="E5" i="10"/>
  <c r="F5" i="10" s="1"/>
  <c r="E10" i="10"/>
  <c r="F10" i="10" s="1"/>
  <c r="E9" i="10"/>
  <c r="F9" i="10" s="1"/>
  <c r="E7" i="10"/>
  <c r="F7" i="10" s="1"/>
  <c r="E6" i="10"/>
  <c r="F6" i="10" s="1"/>
  <c r="E8" i="10"/>
  <c r="F8" i="10" s="1"/>
  <c r="E4" i="10"/>
  <c r="F4" i="10" s="1"/>
  <c r="E3" i="10"/>
  <c r="F3" i="10" s="1"/>
  <c r="E2" i="10"/>
  <c r="F2" i="10" s="1"/>
  <c r="E28" i="10"/>
  <c r="F28" i="10" s="1"/>
  <c r="E30" i="10"/>
  <c r="F30" i="10" s="1"/>
  <c r="E33" i="10"/>
  <c r="F33" i="10" s="1"/>
  <c r="E26" i="10"/>
  <c r="F26" i="10" s="1"/>
  <c r="E32" i="10"/>
  <c r="F32" i="10" s="1"/>
  <c r="E31" i="10"/>
  <c r="F31" i="10" s="1"/>
  <c r="E27" i="10"/>
  <c r="F27" i="10" s="1"/>
  <c r="E29" i="10"/>
  <c r="F29" i="10" s="1"/>
  <c r="E215" i="3"/>
  <c r="F215" i="3" s="1"/>
  <c r="F216" i="3" s="1"/>
  <c r="C218" i="3" s="1"/>
  <c r="D215" i="3"/>
  <c r="E2" i="11"/>
  <c r="D289" i="3"/>
  <c r="F16" i="2" a="1"/>
  <c r="F16" i="2" s="1"/>
  <c r="F17" i="2" a="1"/>
  <c r="F17" i="2" s="1"/>
  <c r="C37" i="13"/>
  <c r="E37" i="13" s="1"/>
  <c r="F37" i="13" s="1"/>
  <c r="B37" i="13"/>
  <c r="A37" i="13"/>
  <c r="C36" i="13"/>
  <c r="E36" i="13" s="1"/>
  <c r="F36" i="13" s="1"/>
  <c r="B36" i="13"/>
  <c r="A36" i="13"/>
  <c r="C35" i="13"/>
  <c r="E35" i="13" s="1"/>
  <c r="F35" i="13" s="1"/>
  <c r="B35" i="13"/>
  <c r="A35" i="13"/>
  <c r="C34" i="13"/>
  <c r="E34" i="13" s="1"/>
  <c r="F34" i="13" s="1"/>
  <c r="B34" i="13"/>
  <c r="A34" i="13"/>
  <c r="C33" i="13"/>
  <c r="E33" i="13" s="1"/>
  <c r="F33" i="13" s="1"/>
  <c r="B33" i="13"/>
  <c r="A33" i="13"/>
  <c r="C32" i="13"/>
  <c r="E32" i="13" s="1"/>
  <c r="F32" i="13" s="1"/>
  <c r="B32" i="13"/>
  <c r="A32" i="13"/>
  <c r="C31" i="13"/>
  <c r="E31" i="13" s="1"/>
  <c r="F31" i="13" s="1"/>
  <c r="B31" i="13"/>
  <c r="A31" i="13"/>
  <c r="C30" i="13"/>
  <c r="E30" i="13" s="1"/>
  <c r="F30" i="13" s="1"/>
  <c r="B30" i="13"/>
  <c r="A30" i="13"/>
  <c r="C29" i="13"/>
  <c r="E29" i="13" s="1"/>
  <c r="F29" i="13" s="1"/>
  <c r="B29" i="13"/>
  <c r="A29" i="13"/>
  <c r="C28" i="13"/>
  <c r="E28" i="13" s="1"/>
  <c r="F28" i="13" s="1"/>
  <c r="B28" i="13"/>
  <c r="A28" i="13"/>
  <c r="C27" i="13"/>
  <c r="E27" i="13" s="1"/>
  <c r="F27" i="13" s="1"/>
  <c r="B27" i="13"/>
  <c r="A27" i="13"/>
  <c r="C26" i="13"/>
  <c r="E26" i="13" s="1"/>
  <c r="F26" i="13" s="1"/>
  <c r="B26" i="13"/>
  <c r="A26" i="13"/>
  <c r="C25" i="13"/>
  <c r="E25" i="13" s="1"/>
  <c r="F25" i="13" s="1"/>
  <c r="B25" i="13"/>
  <c r="A25" i="13"/>
  <c r="C24" i="13"/>
  <c r="E24" i="13" s="1"/>
  <c r="F24" i="13" s="1"/>
  <c r="B24" i="13"/>
  <c r="A24" i="13"/>
  <c r="C23" i="13"/>
  <c r="E23" i="13" s="1"/>
  <c r="F23" i="13" s="1"/>
  <c r="B23" i="13"/>
  <c r="A23" i="13"/>
  <c r="C22" i="13"/>
  <c r="E22" i="13" s="1"/>
  <c r="F22" i="13" s="1"/>
  <c r="B22" i="13"/>
  <c r="A22" i="13"/>
  <c r="C21" i="13"/>
  <c r="E21" i="13" s="1"/>
  <c r="F21" i="13" s="1"/>
  <c r="B21" i="13"/>
  <c r="A21" i="13"/>
  <c r="C20" i="13"/>
  <c r="E20" i="13" s="1"/>
  <c r="F20" i="13" s="1"/>
  <c r="B20" i="13"/>
  <c r="A20" i="13"/>
  <c r="C19" i="13"/>
  <c r="E19" i="13" s="1"/>
  <c r="F19" i="13" s="1"/>
  <c r="B19" i="13"/>
  <c r="A19" i="13"/>
  <c r="C18" i="13"/>
  <c r="E18" i="13" s="1"/>
  <c r="F18" i="13" s="1"/>
  <c r="B18" i="13"/>
  <c r="A18" i="13"/>
  <c r="C17" i="13"/>
  <c r="E17" i="13" s="1"/>
  <c r="F17" i="13" s="1"/>
  <c r="B17" i="13"/>
  <c r="A17" i="13"/>
  <c r="C16" i="13"/>
  <c r="E16" i="13" s="1"/>
  <c r="F16" i="13" s="1"/>
  <c r="B16" i="13"/>
  <c r="A16" i="13"/>
  <c r="C15" i="13"/>
  <c r="E15" i="13" s="1"/>
  <c r="F15" i="13" s="1"/>
  <c r="B15" i="13"/>
  <c r="A15" i="13"/>
  <c r="C14" i="13"/>
  <c r="E14" i="13" s="1"/>
  <c r="F14" i="13" s="1"/>
  <c r="B14" i="13"/>
  <c r="A14" i="13"/>
  <c r="C13" i="13"/>
  <c r="E13" i="13" s="1"/>
  <c r="F13" i="13" s="1"/>
  <c r="B13" i="13"/>
  <c r="A13" i="13"/>
  <c r="C12" i="13"/>
  <c r="E12" i="13" s="1"/>
  <c r="F12" i="13" s="1"/>
  <c r="B12" i="13"/>
  <c r="A12" i="13"/>
  <c r="C11" i="13"/>
  <c r="E11" i="13" s="1"/>
  <c r="F11" i="13" s="1"/>
  <c r="B11" i="13"/>
  <c r="A11" i="13"/>
  <c r="C10" i="13"/>
  <c r="E10" i="13" s="1"/>
  <c r="F10" i="13" s="1"/>
  <c r="B10" i="13"/>
  <c r="A10" i="13"/>
  <c r="C9" i="13"/>
  <c r="E9" i="13" s="1"/>
  <c r="F9" i="13" s="1"/>
  <c r="B9" i="13"/>
  <c r="A9" i="13"/>
  <c r="C8" i="13"/>
  <c r="E8" i="13" s="1"/>
  <c r="F8" i="13" s="1"/>
  <c r="B8" i="13"/>
  <c r="A8" i="13"/>
  <c r="C7" i="13"/>
  <c r="E7" i="13" s="1"/>
  <c r="F7" i="13" s="1"/>
  <c r="B7" i="13"/>
  <c r="A7" i="13"/>
  <c r="C6" i="13"/>
  <c r="E6" i="13" s="1"/>
  <c r="F6" i="13" s="1"/>
  <c r="B6" i="13"/>
  <c r="A6" i="13"/>
  <c r="C5" i="13"/>
  <c r="E5" i="13" s="1"/>
  <c r="F5" i="13" s="1"/>
  <c r="B5" i="13"/>
  <c r="A5" i="13"/>
  <c r="C4" i="13"/>
  <c r="E4" i="13" s="1"/>
  <c r="F4" i="13" s="1"/>
  <c r="B4" i="13"/>
  <c r="A4" i="13"/>
  <c r="C3" i="13"/>
  <c r="E3" i="13" s="1"/>
  <c r="F3" i="13" s="1"/>
  <c r="B3" i="13"/>
  <c r="A3" i="13"/>
  <c r="C2" i="13"/>
  <c r="E2" i="13" s="1"/>
  <c r="F2" i="13" s="1"/>
  <c r="B2" i="13"/>
  <c r="A2" i="13"/>
  <c r="D486" i="3"/>
  <c r="D479" i="3"/>
  <c r="D478" i="3"/>
  <c r="D477" i="3"/>
  <c r="D476" i="3"/>
  <c r="D475" i="3"/>
  <c r="D468" i="3"/>
  <c r="D467" i="3"/>
  <c r="D460" i="3"/>
  <c r="D453" i="3"/>
  <c r="D446" i="3"/>
  <c r="D445" i="3"/>
  <c r="D444" i="3"/>
  <c r="D443" i="3"/>
  <c r="D436" i="3"/>
  <c r="D435" i="3"/>
  <c r="D434" i="3"/>
  <c r="D433" i="3"/>
  <c r="D426" i="3"/>
  <c r="D425" i="3"/>
  <c r="D424" i="3"/>
  <c r="D423" i="3"/>
  <c r="D416" i="3"/>
  <c r="D415" i="3"/>
  <c r="D414" i="3"/>
  <c r="D407" i="3"/>
  <c r="D406" i="3"/>
  <c r="D405" i="3"/>
  <c r="D398" i="3"/>
  <c r="D397" i="3"/>
  <c r="D396" i="3"/>
  <c r="D389" i="3"/>
  <c r="D388" i="3"/>
  <c r="D387" i="3"/>
  <c r="D380" i="3"/>
  <c r="D379" i="3"/>
  <c r="D378" i="3"/>
  <c r="D377" i="3"/>
  <c r="D370" i="3"/>
  <c r="D369" i="3"/>
  <c r="D368" i="3"/>
  <c r="D367" i="3"/>
  <c r="D360" i="3"/>
  <c r="D359" i="3"/>
  <c r="D358" i="3"/>
  <c r="D351" i="3"/>
  <c r="D350" i="3"/>
  <c r="D349" i="3"/>
  <c r="D348" i="3"/>
  <c r="D341" i="3"/>
  <c r="D338" i="3"/>
  <c r="D331" i="3"/>
  <c r="D330" i="3"/>
  <c r="D329" i="3"/>
  <c r="D322" i="3"/>
  <c r="D321" i="3"/>
  <c r="D320" i="3"/>
  <c r="D319" i="3"/>
  <c r="D318" i="3"/>
  <c r="D317" i="3"/>
  <c r="D316" i="3"/>
  <c r="D315" i="3"/>
  <c r="D308" i="3"/>
  <c r="D307" i="3"/>
  <c r="D306" i="3"/>
  <c r="D299" i="3"/>
  <c r="D298" i="3"/>
  <c r="D297" i="3"/>
  <c r="D290" i="3"/>
  <c r="D288" i="3"/>
  <c r="D287" i="3"/>
  <c r="D280" i="3"/>
  <c r="D279" i="3"/>
  <c r="D272" i="3"/>
  <c r="D271" i="3"/>
  <c r="D270" i="3"/>
  <c r="D263" i="3"/>
  <c r="D262" i="3"/>
  <c r="D261" i="3"/>
  <c r="D254" i="3"/>
  <c r="D253" i="3"/>
  <c r="D252" i="3"/>
  <c r="D245" i="3"/>
  <c r="D244" i="3"/>
  <c r="D237" i="3"/>
  <c r="D230" i="3"/>
  <c r="D229" i="3"/>
  <c r="D222" i="3"/>
  <c r="D208" i="3"/>
  <c r="D201" i="3"/>
  <c r="D200" i="3"/>
  <c r="D199" i="3"/>
  <c r="D192" i="3"/>
  <c r="D185" i="3"/>
  <c r="D184" i="3"/>
  <c r="D177" i="3"/>
  <c r="D176" i="3"/>
  <c r="D169" i="3"/>
  <c r="D168" i="3"/>
  <c r="D167" i="3"/>
  <c r="D160" i="3"/>
  <c r="D159" i="3"/>
  <c r="D158" i="3"/>
  <c r="D151" i="3"/>
  <c r="D150" i="3"/>
  <c r="D149" i="3"/>
  <c r="D148" i="3"/>
  <c r="D147" i="3"/>
  <c r="D146" i="3"/>
  <c r="D145" i="3"/>
  <c r="D144" i="3"/>
  <c r="D137" i="3"/>
  <c r="D136" i="3"/>
  <c r="D135" i="3"/>
  <c r="D134" i="3"/>
  <c r="D127" i="3"/>
  <c r="D126" i="3"/>
  <c r="D125" i="3"/>
  <c r="D124" i="3"/>
  <c r="D117" i="3"/>
  <c r="D116" i="3"/>
  <c r="D109" i="3"/>
  <c r="D108" i="3"/>
  <c r="D107" i="3"/>
  <c r="D106" i="3"/>
  <c r="D105" i="3"/>
  <c r="D104" i="3"/>
  <c r="D103" i="3"/>
  <c r="D102" i="3"/>
  <c r="D101" i="3"/>
  <c r="D94" i="3"/>
  <c r="D93" i="3"/>
  <c r="D92" i="3"/>
  <c r="D91" i="3"/>
  <c r="D84" i="3"/>
  <c r="D83" i="3"/>
  <c r="D82" i="3"/>
  <c r="D81" i="3"/>
  <c r="D80" i="3"/>
  <c r="D73" i="3"/>
  <c r="D72" i="3"/>
  <c r="D71" i="3"/>
  <c r="D70" i="3"/>
  <c r="D69" i="3"/>
  <c r="D62" i="3"/>
  <c r="D61" i="3"/>
  <c r="D60" i="3"/>
  <c r="D59" i="3"/>
  <c r="D58" i="3"/>
  <c r="D51" i="3"/>
  <c r="D50" i="3"/>
  <c r="D49" i="3"/>
  <c r="D48" i="3"/>
  <c r="D47" i="3"/>
  <c r="D40" i="3"/>
  <c r="D39" i="3"/>
  <c r="D38" i="3"/>
  <c r="D37" i="3"/>
  <c r="D36" i="3"/>
  <c r="D29" i="3"/>
  <c r="D28" i="3"/>
  <c r="D21" i="3"/>
  <c r="D20" i="3"/>
  <c r="D19" i="3"/>
  <c r="D18" i="3"/>
  <c r="D17" i="3"/>
  <c r="D16" i="3"/>
  <c r="D9" i="3"/>
  <c r="D8" i="3"/>
  <c r="D7" i="3"/>
  <c r="D6" i="3"/>
  <c r="D5" i="3"/>
  <c r="G2" i="9"/>
  <c r="H2" i="9"/>
  <c r="I2" i="9"/>
  <c r="J2" i="9"/>
  <c r="K2" i="9"/>
  <c r="L2" i="9"/>
  <c r="M2" i="9"/>
  <c r="N2" i="9"/>
  <c r="O2" i="9"/>
  <c r="P2" i="9"/>
  <c r="Q2" i="9"/>
  <c r="R2" i="9"/>
  <c r="S2" i="9"/>
  <c r="T2" i="9"/>
  <c r="U2" i="9"/>
  <c r="V2" i="9"/>
  <c r="W2" i="9"/>
  <c r="X2" i="9"/>
  <c r="Y2" i="9"/>
  <c r="Z2" i="9"/>
  <c r="AA2" i="9"/>
  <c r="AB2" i="9"/>
  <c r="AC2" i="9"/>
  <c r="AD2" i="9"/>
  <c r="AE2" i="9"/>
  <c r="AF2" i="9"/>
  <c r="AG2" i="9"/>
  <c r="AH2" i="9"/>
  <c r="AI2" i="9"/>
  <c r="AJ2" i="9"/>
  <c r="AK2" i="9"/>
  <c r="AL2" i="9"/>
  <c r="AM2" i="9"/>
  <c r="AN2" i="9"/>
  <c r="AO2" i="9"/>
  <c r="AP2" i="9"/>
  <c r="AQ2" i="9"/>
  <c r="AR2" i="9"/>
  <c r="AS2" i="9"/>
  <c r="AT2" i="9"/>
  <c r="AU2" i="9"/>
  <c r="AV2" i="9"/>
  <c r="AW2" i="9"/>
  <c r="AX2" i="9"/>
  <c r="AY2" i="9"/>
  <c r="AZ2" i="9"/>
  <c r="BA2" i="9"/>
  <c r="BB2" i="9"/>
  <c r="BC2" i="9"/>
  <c r="D2" i="9"/>
  <c r="A11" i="9"/>
  <c r="B11" i="9"/>
  <c r="A19" i="9"/>
  <c r="B19" i="9"/>
  <c r="A26" i="9"/>
  <c r="B26" i="9"/>
  <c r="A29" i="9"/>
  <c r="B29" i="9"/>
  <c r="A34" i="9"/>
  <c r="B34" i="9"/>
  <c r="A39" i="9"/>
  <c r="B39" i="9"/>
  <c r="A40" i="9"/>
  <c r="B40" i="9"/>
  <c r="A41" i="9"/>
  <c r="B41" i="9"/>
  <c r="A42" i="9"/>
  <c r="B42" i="9"/>
  <c r="A43" i="9"/>
  <c r="B43" i="9"/>
  <c r="A44" i="9"/>
  <c r="B44" i="9"/>
  <c r="A45" i="9"/>
  <c r="B45" i="9"/>
  <c r="A46" i="9"/>
  <c r="B46" i="9"/>
  <c r="B1" i="9"/>
  <c r="A1" i="9"/>
  <c r="C18" i="8"/>
  <c r="C50" i="8"/>
  <c r="C30" i="8"/>
  <c r="C11" i="8"/>
  <c r="C10" i="8"/>
  <c r="C37" i="8"/>
  <c r="C5" i="8"/>
  <c r="C31" i="8" s="1"/>
  <c r="F2" i="9" l="1"/>
  <c r="E2" i="9"/>
  <c r="C54" i="8"/>
  <c r="C12" i="8"/>
  <c r="C43" i="8" s="1"/>
  <c r="C36" i="8"/>
  <c r="C32" i="8"/>
  <c r="C44" i="8" l="1"/>
  <c r="C33" i="8"/>
  <c r="C56" i="8"/>
  <c r="C57" i="8" s="1"/>
  <c r="C58" i="8" s="1"/>
  <c r="C61" i="8" s="1"/>
  <c r="C62" i="8" s="1"/>
  <c r="G39" i="1" l="1"/>
  <c r="E370" i="3" s="1"/>
  <c r="G56" i="1"/>
  <c r="E320" i="3" s="1"/>
  <c r="D1" i="9"/>
  <c r="E1" i="9" s="1"/>
  <c r="F1" i="9" s="1"/>
  <c r="G1" i="9" s="1"/>
  <c r="H1" i="9" s="1"/>
  <c r="I1" i="9" s="1"/>
  <c r="J1" i="9" s="1"/>
  <c r="K1" i="9" s="1"/>
  <c r="L1" i="9" s="1"/>
  <c r="M1" i="9" s="1"/>
  <c r="N1" i="9" s="1"/>
  <c r="O1" i="9" s="1"/>
  <c r="P1" i="9" s="1"/>
  <c r="Q1" i="9" s="1"/>
  <c r="R1" i="9" s="1"/>
  <c r="S1" i="9" s="1"/>
  <c r="T1" i="9" s="1"/>
  <c r="U1" i="9" s="1"/>
  <c r="V1" i="9" s="1"/>
  <c r="W1" i="9" s="1"/>
  <c r="X1" i="9" s="1"/>
  <c r="Y1" i="9" s="1"/>
  <c r="Z1" i="9" s="1"/>
  <c r="AA1" i="9" s="1"/>
  <c r="AB1" i="9" s="1"/>
  <c r="AC1" i="9" s="1"/>
  <c r="AD1" i="9" s="1"/>
  <c r="AE1" i="9" s="1"/>
  <c r="AF1" i="9" s="1"/>
  <c r="AG1" i="9" s="1"/>
  <c r="AH1" i="9" s="1"/>
  <c r="AI1" i="9" s="1"/>
  <c r="AJ1" i="9" s="1"/>
  <c r="AK1" i="9" s="1"/>
  <c r="AL1" i="9" s="1"/>
  <c r="AM1" i="9" s="1"/>
  <c r="AN1" i="9" s="1"/>
  <c r="AO1" i="9" s="1"/>
  <c r="AP1" i="9" s="1"/>
  <c r="AQ1" i="9" s="1"/>
  <c r="AR1" i="9" s="1"/>
  <c r="AS1" i="9" s="1"/>
  <c r="AT1" i="9" s="1"/>
  <c r="AU1" i="9" s="1"/>
  <c r="AV1" i="9" s="1"/>
  <c r="AW1" i="9" s="1"/>
  <c r="AX1" i="9" s="1"/>
  <c r="AY1" i="9" s="1"/>
  <c r="AZ1" i="9" s="1"/>
  <c r="BA1" i="9" s="1"/>
  <c r="BB1" i="9" s="1"/>
  <c r="BC1" i="9" s="1"/>
  <c r="G16" i="1"/>
  <c r="G46" i="1"/>
  <c r="G12" i="1"/>
  <c r="E158" i="3" s="1"/>
  <c r="G35" i="1"/>
  <c r="E117" i="3" s="1"/>
  <c r="G25" i="1"/>
  <c r="G24" i="1"/>
  <c r="E101" i="3" s="1"/>
  <c r="G30" i="1"/>
  <c r="E81" i="3" s="1"/>
  <c r="F81" i="3" s="1"/>
  <c r="G52" i="1"/>
  <c r="G6" i="1"/>
  <c r="G8" i="1"/>
  <c r="G36" i="1"/>
  <c r="G23" i="1"/>
  <c r="G11" i="1"/>
  <c r="G45" i="1"/>
  <c r="G44" i="1"/>
  <c r="G40" i="1"/>
  <c r="G29" i="1"/>
  <c r="E289" i="3" s="1"/>
  <c r="F289" i="3" s="1"/>
  <c r="G67" i="1"/>
  <c r="G66" i="1"/>
  <c r="G64" i="1"/>
  <c r="G54" i="1"/>
  <c r="E109" i="3" s="1"/>
  <c r="G55" i="1"/>
  <c r="E108" i="3" s="1"/>
  <c r="G68" i="1"/>
  <c r="G47" i="1"/>
  <c r="E71" i="3" s="1"/>
  <c r="G38" i="1"/>
  <c r="E59" i="3" s="1"/>
  <c r="G58" i="1"/>
  <c r="G69" i="1"/>
  <c r="G63" i="1"/>
  <c r="G71" i="1"/>
  <c r="G15" i="1"/>
  <c r="G9" i="1"/>
  <c r="E125" i="3" s="1"/>
  <c r="G33" i="1"/>
  <c r="G41" i="1"/>
  <c r="G42" i="1"/>
  <c r="G53" i="1"/>
  <c r="G13" i="1"/>
  <c r="G49" i="1"/>
  <c r="G17" i="1"/>
  <c r="G27" i="1"/>
  <c r="G19" i="1"/>
  <c r="G20" i="1"/>
  <c r="G21" i="1"/>
  <c r="G18" i="1"/>
  <c r="E199" i="3" s="1"/>
  <c r="G26" i="1"/>
  <c r="G31" i="1"/>
  <c r="G32" i="1"/>
  <c r="G10" i="1"/>
  <c r="G37" i="1"/>
  <c r="G60" i="1"/>
  <c r="G65" i="1"/>
  <c r="G70" i="1"/>
  <c r="G72" i="1"/>
  <c r="G43" i="1"/>
  <c r="G59" i="1"/>
  <c r="G48" i="1"/>
  <c r="E406" i="3" s="1"/>
  <c r="G57" i="1"/>
  <c r="E416" i="3" s="1"/>
  <c r="G28" i="1"/>
  <c r="E424" i="3" s="1"/>
  <c r="G7" i="1"/>
  <c r="G61" i="1"/>
  <c r="G62" i="1"/>
  <c r="E453" i="3" s="1"/>
  <c r="G51" i="1"/>
  <c r="E460" i="3" s="1"/>
  <c r="G50" i="1"/>
  <c r="E486" i="3" s="1"/>
  <c r="G22" i="1"/>
  <c r="G4" i="1"/>
  <c r="E479" i="3" s="1"/>
  <c r="G5" i="1"/>
  <c r="E476" i="3" s="1"/>
  <c r="G3" i="1"/>
  <c r="E475" i="3" s="1"/>
  <c r="G2" i="1"/>
  <c r="G34" i="1"/>
  <c r="G14" i="1"/>
  <c r="E467" i="3" l="1"/>
  <c r="E351" i="3"/>
  <c r="F351" i="3" s="1"/>
  <c r="E290" i="3"/>
  <c r="F290" i="3" s="1"/>
  <c r="E201" i="3"/>
  <c r="F201" i="3" s="1"/>
  <c r="E308" i="3"/>
  <c r="F308" i="3" s="1"/>
  <c r="E272" i="3"/>
  <c r="F272" i="3" s="1"/>
  <c r="E151" i="3"/>
  <c r="F151" i="3" s="1"/>
  <c r="E83" i="3"/>
  <c r="F83" i="3" s="1"/>
  <c r="E61" i="3"/>
  <c r="F61" i="3" s="1"/>
  <c r="E104" i="3"/>
  <c r="F104" i="3" s="1"/>
  <c r="E6" i="3"/>
  <c r="F6" i="3" s="1"/>
  <c r="E317" i="3"/>
  <c r="F317" i="3" s="1"/>
  <c r="E16" i="3"/>
  <c r="F16" i="3" s="1"/>
  <c r="E478" i="3"/>
  <c r="F478" i="3" s="1"/>
  <c r="E271" i="3"/>
  <c r="F271" i="3" s="1"/>
  <c r="E200" i="3"/>
  <c r="F200" i="3" s="1"/>
  <c r="E307" i="3"/>
  <c r="F307" i="3" s="1"/>
  <c r="E106" i="3"/>
  <c r="F106" i="3" s="1"/>
  <c r="E145" i="3"/>
  <c r="F145" i="3" s="1"/>
  <c r="E84" i="3"/>
  <c r="F84" i="3" s="1"/>
  <c r="E62" i="3"/>
  <c r="F62" i="3" s="1"/>
  <c r="E149" i="3"/>
  <c r="F149" i="3" s="1"/>
  <c r="E5" i="3"/>
  <c r="F5" i="3" s="1"/>
  <c r="E17" i="3"/>
  <c r="F17" i="3" s="1"/>
  <c r="F117" i="3"/>
  <c r="E102" i="3"/>
  <c r="F102" i="3" s="1"/>
  <c r="E380" i="3"/>
  <c r="F380" i="3" s="1"/>
  <c r="E229" i="3"/>
  <c r="F229" i="3" s="1"/>
  <c r="E208" i="3"/>
  <c r="F208" i="3" s="1"/>
  <c r="F209" i="3" s="1"/>
  <c r="C211" i="3" s="1"/>
  <c r="E445" i="3"/>
  <c r="F445" i="3" s="1"/>
  <c r="E379" i="3"/>
  <c r="F379" i="3" s="1"/>
  <c r="E18" i="3"/>
  <c r="F18" i="3" s="1"/>
  <c r="E262" i="3"/>
  <c r="F262" i="3" s="1"/>
  <c r="E105" i="3"/>
  <c r="F105" i="3" s="1"/>
  <c r="E435" i="3"/>
  <c r="F435" i="3" s="1"/>
  <c r="E316" i="3"/>
  <c r="F316" i="3" s="1"/>
  <c r="E397" i="3"/>
  <c r="F397" i="3" s="1"/>
  <c r="E254" i="3"/>
  <c r="F254" i="3" s="1"/>
  <c r="E350" i="3"/>
  <c r="F350" i="3" s="1"/>
  <c r="E299" i="3"/>
  <c r="E477" i="3"/>
  <c r="F477" i="3" s="1"/>
  <c r="E444" i="3"/>
  <c r="F444" i="3" s="1"/>
  <c r="E434" i="3"/>
  <c r="F434" i="3" s="1"/>
  <c r="E136" i="3"/>
  <c r="F136" i="3" s="1"/>
  <c r="E92" i="3"/>
  <c r="F92" i="3" s="1"/>
  <c r="E48" i="3"/>
  <c r="F48" i="3" s="1"/>
  <c r="E8" i="3"/>
  <c r="F8" i="3" s="1"/>
  <c r="E150" i="3"/>
  <c r="F150" i="3" s="1"/>
  <c r="E60" i="3"/>
  <c r="F60" i="3" s="1"/>
  <c r="E82" i="3"/>
  <c r="F82" i="3" s="1"/>
  <c r="E103" i="3"/>
  <c r="F103" i="3" s="1"/>
  <c r="E21" i="3"/>
  <c r="F21" i="3" s="1"/>
  <c r="E425" i="3"/>
  <c r="F425" i="3" s="1"/>
  <c r="E318" i="3"/>
  <c r="F318" i="3" s="1"/>
  <c r="E137" i="3"/>
  <c r="F137" i="3" s="1"/>
  <c r="E39" i="3"/>
  <c r="F39" i="3" s="1"/>
  <c r="E72" i="3"/>
  <c r="F72" i="3" s="1"/>
  <c r="E148" i="3"/>
  <c r="F148" i="3" s="1"/>
  <c r="E319" i="3"/>
  <c r="F319" i="3" s="1"/>
  <c r="E192" i="3"/>
  <c r="F192" i="3" s="1"/>
  <c r="F193" i="3" s="1"/>
  <c r="C195" i="3" s="1"/>
  <c r="E349" i="3"/>
  <c r="F349" i="3" s="1"/>
  <c r="E407" i="3"/>
  <c r="F407" i="3" s="1"/>
  <c r="E378" i="3"/>
  <c r="F378" i="3" s="1"/>
  <c r="E263" i="3"/>
  <c r="F263" i="3" s="1"/>
  <c r="E49" i="3"/>
  <c r="F49" i="3" s="1"/>
  <c r="E147" i="3"/>
  <c r="F147" i="3" s="1"/>
  <c r="E38" i="3"/>
  <c r="F38" i="3" s="1"/>
  <c r="E369" i="3"/>
  <c r="F369" i="3" s="1"/>
  <c r="E280" i="3"/>
  <c r="F280" i="3" s="1"/>
  <c r="E80" i="3"/>
  <c r="E58" i="3"/>
  <c r="F58" i="3" s="1"/>
  <c r="E426" i="3"/>
  <c r="F426" i="3" s="1"/>
  <c r="E388" i="3"/>
  <c r="E19" i="3"/>
  <c r="F19" i="3" s="1"/>
  <c r="E135" i="3"/>
  <c r="F135" i="3" s="1"/>
  <c r="E321" i="3"/>
  <c r="F321" i="3" s="1"/>
  <c r="E7" i="3"/>
  <c r="F7" i="3" s="1"/>
  <c r="E184" i="3"/>
  <c r="F184" i="3" s="1"/>
  <c r="E176" i="3"/>
  <c r="F176" i="3" s="1"/>
  <c r="E279" i="3"/>
  <c r="F279" i="3" s="1"/>
  <c r="E116" i="3"/>
  <c r="F116" i="3" s="1"/>
  <c r="E107" i="3"/>
  <c r="F107" i="3" s="1"/>
  <c r="E160" i="3"/>
  <c r="F160" i="3" s="1"/>
  <c r="E37" i="3"/>
  <c r="F37" i="3" s="1"/>
  <c r="E50" i="3"/>
  <c r="F50" i="3" s="1"/>
  <c r="E237" i="3"/>
  <c r="F237" i="3" s="1"/>
  <c r="F238" i="3" s="1"/>
  <c r="C240" i="3" s="1"/>
  <c r="E177" i="3"/>
  <c r="F158" i="3"/>
  <c r="E185" i="3"/>
  <c r="F185" i="3" s="1"/>
  <c r="E144" i="3"/>
  <c r="F144" i="3" s="1"/>
  <c r="E297" i="3"/>
  <c r="F297" i="3" s="1"/>
  <c r="E396" i="3"/>
  <c r="F396" i="3" s="1"/>
  <c r="E446" i="3"/>
  <c r="F446" i="3" s="1"/>
  <c r="E298" i="3"/>
  <c r="F298" i="3" s="1"/>
  <c r="E40" i="3"/>
  <c r="F40" i="3" s="1"/>
  <c r="E436" i="3"/>
  <c r="F436" i="3" s="1"/>
  <c r="E398" i="3"/>
  <c r="F398" i="3" s="1"/>
  <c r="E261" i="3"/>
  <c r="F261" i="3" s="1"/>
  <c r="E322" i="3"/>
  <c r="F322" i="3" s="1"/>
  <c r="E253" i="3"/>
  <c r="F253" i="3" s="1"/>
  <c r="E51" i="3"/>
  <c r="F51" i="3" s="1"/>
  <c r="E331" i="3"/>
  <c r="F331" i="3" s="1"/>
  <c r="E146" i="3"/>
  <c r="F146" i="3" s="1"/>
  <c r="E360" i="3"/>
  <c r="F360" i="3" s="1"/>
  <c r="E159" i="3"/>
  <c r="F159" i="3" s="1"/>
  <c r="E73" i="3"/>
  <c r="F73" i="3" s="1"/>
  <c r="E29" i="3"/>
  <c r="F29" i="3" s="1"/>
  <c r="E245" i="3"/>
  <c r="F245" i="3" s="1"/>
  <c r="E94" i="3"/>
  <c r="F94" i="3" s="1"/>
  <c r="E230" i="3"/>
  <c r="F230" i="3" s="1"/>
  <c r="E377" i="3"/>
  <c r="F377" i="3" s="1"/>
  <c r="E348" i="3"/>
  <c r="F348" i="3" s="1"/>
  <c r="E222" i="3"/>
  <c r="F222" i="3" s="1"/>
  <c r="F223" i="3" s="1"/>
  <c r="C225" i="3" s="1"/>
  <c r="E20" i="3"/>
  <c r="F20" i="3" s="1"/>
  <c r="E468" i="3"/>
  <c r="F468" i="3" s="1"/>
  <c r="E315" i="3"/>
  <c r="F315" i="3" s="1"/>
  <c r="E9" i="3"/>
  <c r="F9" i="3" s="1"/>
  <c r="F453" i="3"/>
  <c r="A36" i="9"/>
  <c r="B36" i="9"/>
  <c r="B38" i="9"/>
  <c r="A38" i="9"/>
  <c r="A37" i="9"/>
  <c r="B37" i="9"/>
  <c r="B35" i="9"/>
  <c r="A35" i="9"/>
  <c r="A33" i="9"/>
  <c r="B33" i="9"/>
  <c r="A32" i="9"/>
  <c r="B32" i="9"/>
  <c r="A31" i="9"/>
  <c r="B31" i="9"/>
  <c r="B30" i="9"/>
  <c r="A30" i="9"/>
  <c r="A28" i="9"/>
  <c r="B28" i="9"/>
  <c r="B27" i="9"/>
  <c r="A27" i="9"/>
  <c r="A25" i="9"/>
  <c r="B25" i="9"/>
  <c r="B24" i="9"/>
  <c r="A24" i="9"/>
  <c r="A23" i="9"/>
  <c r="B23" i="9"/>
  <c r="B22" i="9"/>
  <c r="A22" i="9"/>
  <c r="B21" i="9"/>
  <c r="A21" i="9"/>
  <c r="B20" i="9"/>
  <c r="A20" i="9"/>
  <c r="A14" i="9"/>
  <c r="B14" i="9"/>
  <c r="B12" i="9"/>
  <c r="A12" i="9"/>
  <c r="B18" i="9"/>
  <c r="A18" i="9"/>
  <c r="A17" i="9"/>
  <c r="B17" i="9"/>
  <c r="B16" i="9"/>
  <c r="A16" i="9"/>
  <c r="B15" i="9"/>
  <c r="A15" i="9"/>
  <c r="B13" i="9"/>
  <c r="A13" i="9"/>
  <c r="A10" i="9"/>
  <c r="B10" i="9"/>
  <c r="A9" i="9"/>
  <c r="B9" i="9"/>
  <c r="A8" i="9"/>
  <c r="B8" i="9"/>
  <c r="A7" i="9"/>
  <c r="B7" i="9"/>
  <c r="A6" i="9"/>
  <c r="B6" i="9"/>
  <c r="B5" i="9"/>
  <c r="A5" i="9"/>
  <c r="A4" i="9"/>
  <c r="B4" i="9"/>
  <c r="B3" i="9"/>
  <c r="A3" i="9"/>
  <c r="F475" i="3"/>
  <c r="F416" i="3"/>
  <c r="F370" i="3"/>
  <c r="F299" i="3"/>
  <c r="F320" i="3"/>
  <c r="F486" i="3"/>
  <c r="F476" i="3"/>
  <c r="F424" i="3"/>
  <c r="F406" i="3"/>
  <c r="F467" i="3"/>
  <c r="F199" i="3"/>
  <c r="F479" i="3"/>
  <c r="F460" i="3"/>
  <c r="F108" i="3"/>
  <c r="F109" i="3"/>
  <c r="F125" i="3"/>
  <c r="F101" i="3"/>
  <c r="F59" i="3"/>
  <c r="F71" i="3"/>
  <c r="F231" i="3" l="1"/>
  <c r="C233" i="3" s="1"/>
  <c r="F22" i="3"/>
  <c r="C24" i="3" s="1"/>
  <c r="G75" i="1" s="1"/>
  <c r="E306" i="3" s="1"/>
  <c r="F306" i="3" s="1"/>
  <c r="F309" i="3" s="1"/>
  <c r="C311" i="3" s="1"/>
  <c r="F186" i="3"/>
  <c r="C188" i="3" s="1"/>
  <c r="F202" i="3"/>
  <c r="C204" i="3" s="1"/>
  <c r="F381" i="3"/>
  <c r="C383" i="3" s="1"/>
  <c r="G87" i="1" s="1"/>
  <c r="F399" i="3"/>
  <c r="C401" i="3" s="1"/>
  <c r="G88" i="1" s="1"/>
  <c r="F352" i="3"/>
  <c r="C354" i="3" s="1"/>
  <c r="G86" i="1" s="1"/>
  <c r="F480" i="3"/>
  <c r="C482" i="3" s="1"/>
  <c r="F300" i="3"/>
  <c r="C302" i="3" s="1"/>
  <c r="G84" i="1" s="1"/>
  <c r="F454" i="3"/>
  <c r="C456" i="3" s="1"/>
  <c r="F469" i="3"/>
  <c r="C471" i="3" s="1"/>
  <c r="F487" i="3"/>
  <c r="C489" i="3" s="1"/>
  <c r="F264" i="3"/>
  <c r="C266" i="3" s="1"/>
  <c r="G82" i="1" s="1"/>
  <c r="E341" i="3" s="1"/>
  <c r="F341" i="3" s="1"/>
  <c r="F461" i="3"/>
  <c r="C463" i="3" s="1"/>
  <c r="F281" i="3"/>
  <c r="C283" i="3" s="1"/>
  <c r="F323" i="3"/>
  <c r="C325" i="3" s="1"/>
  <c r="G85" i="1" s="1"/>
  <c r="F161" i="3"/>
  <c r="C163" i="3" s="1"/>
  <c r="G81" i="1" s="1"/>
  <c r="E169" i="3" s="1"/>
  <c r="F118" i="3"/>
  <c r="C120" i="3" s="1"/>
  <c r="G79" i="1" s="1"/>
  <c r="E127" i="3" s="1"/>
  <c r="F110" i="3"/>
  <c r="C112" i="3" s="1"/>
  <c r="G78" i="1" s="1"/>
  <c r="E126" i="3" s="1"/>
  <c r="F63" i="3"/>
  <c r="C65" i="3" s="1"/>
  <c r="G77" i="1" s="1"/>
  <c r="E70" i="3" s="1"/>
  <c r="F10" i="3"/>
  <c r="C12" i="3" s="1"/>
  <c r="G74" i="1" s="1"/>
  <c r="E244" i="3" l="1"/>
  <c r="F244" i="3" s="1"/>
  <c r="F246" i="3" s="1"/>
  <c r="C248" i="3" s="1"/>
  <c r="E367" i="3"/>
  <c r="F367" i="3" s="1"/>
  <c r="E387" i="3"/>
  <c r="F387" i="3" s="1"/>
  <c r="E433" i="3"/>
  <c r="F433" i="3" s="1"/>
  <c r="F437" i="3" s="1"/>
  <c r="C439" i="3" s="1"/>
  <c r="E414" i="3"/>
  <c r="F414" i="3" s="1"/>
  <c r="E287" i="3"/>
  <c r="F287" i="3" s="1"/>
  <c r="E270" i="3"/>
  <c r="F270" i="3" s="1"/>
  <c r="F273" i="3" s="1"/>
  <c r="C275" i="3" s="1"/>
  <c r="E423" i="3"/>
  <c r="F423" i="3" s="1"/>
  <c r="F427" i="3" s="1"/>
  <c r="C429" i="3" s="1"/>
  <c r="E443" i="3"/>
  <c r="F443" i="3" s="1"/>
  <c r="F447" i="3" s="1"/>
  <c r="C449" i="3" s="1"/>
  <c r="E329" i="3"/>
  <c r="F329" i="3" s="1"/>
  <c r="E252" i="3"/>
  <c r="F252" i="3" s="1"/>
  <c r="F255" i="3" s="1"/>
  <c r="C257" i="3" s="1"/>
  <c r="E338" i="3"/>
  <c r="F338" i="3" s="1"/>
  <c r="F342" i="3" s="1"/>
  <c r="C344" i="3" s="1"/>
  <c r="E405" i="3"/>
  <c r="F405" i="3" s="1"/>
  <c r="F408" i="3" s="1"/>
  <c r="C410" i="3" s="1"/>
  <c r="E358" i="3"/>
  <c r="F358" i="3" s="1"/>
  <c r="E330" i="3"/>
  <c r="F330" i="3" s="1"/>
  <c r="E415" i="3"/>
  <c r="F415" i="3" s="1"/>
  <c r="E368" i="3"/>
  <c r="F368" i="3" s="1"/>
  <c r="E359" i="3"/>
  <c r="F359" i="3" s="1"/>
  <c r="E124" i="3"/>
  <c r="F124" i="3" s="1"/>
  <c r="E36" i="3"/>
  <c r="F36" i="3" s="1"/>
  <c r="F41" i="3" s="1"/>
  <c r="C43" i="3" s="1"/>
  <c r="E69" i="3"/>
  <c r="F69" i="3" s="1"/>
  <c r="E47" i="3"/>
  <c r="F47" i="3" s="1"/>
  <c r="F52" i="3" s="1"/>
  <c r="C54" i="3" s="1"/>
  <c r="E91" i="3"/>
  <c r="F91" i="3" s="1"/>
  <c r="E28" i="3"/>
  <c r="F28" i="3" s="1"/>
  <c r="F30" i="3" s="1"/>
  <c r="C32" i="3" s="1"/>
  <c r="E134" i="3"/>
  <c r="F134" i="3" s="1"/>
  <c r="F138" i="3" s="1"/>
  <c r="C140" i="3" s="1"/>
  <c r="E167" i="3"/>
  <c r="F167" i="3" s="1"/>
  <c r="F388" i="3"/>
  <c r="E389" i="3"/>
  <c r="F389" i="3" s="1"/>
  <c r="G83" i="1"/>
  <c r="E288" i="3" s="1"/>
  <c r="F288" i="3" s="1"/>
  <c r="F169" i="3"/>
  <c r="F152" i="3"/>
  <c r="C154" i="3" s="1"/>
  <c r="G80" i="1" s="1"/>
  <c r="E168" i="3" s="1"/>
  <c r="F126" i="3"/>
  <c r="F70" i="3"/>
  <c r="F80" i="3"/>
  <c r="F85" i="3" s="1"/>
  <c r="C87" i="3" s="1"/>
  <c r="G76" i="1" s="1"/>
  <c r="E93" i="3" s="1"/>
  <c r="F371" i="3" l="1"/>
  <c r="C373" i="3" s="1"/>
  <c r="F291" i="3"/>
  <c r="C293" i="3" s="1"/>
  <c r="F417" i="3"/>
  <c r="C419" i="3" s="1"/>
  <c r="F332" i="3"/>
  <c r="C334" i="3" s="1"/>
  <c r="F361" i="3"/>
  <c r="C363" i="3" s="1"/>
  <c r="F390" i="3"/>
  <c r="C392" i="3" s="1"/>
  <c r="F168" i="3"/>
  <c r="F170" i="3" s="1"/>
  <c r="C172" i="3" s="1"/>
  <c r="F177" i="3"/>
  <c r="F74" i="3"/>
  <c r="C76" i="3" s="1"/>
  <c r="F93" i="3"/>
  <c r="F95" i="3" s="1"/>
  <c r="C97" i="3" s="1"/>
  <c r="F127" i="3"/>
  <c r="F128" i="3" s="1"/>
  <c r="C130" i="3" s="1"/>
  <c r="F178" i="3" l="1"/>
  <c r="C180"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tc={A67694CD-0E5E-534D-AA37-8B2797F71E56}</author>
  </authors>
  <commentList>
    <comment ref="A74" authorId="0" shapeId="0" xr:uid="{A67694CD-0E5E-534D-AA37-8B2797F71E56}">
      <text>
        <r>
          <rPr>
            <sz val="12"/>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Les allergènes pour pouvoir être effacés et recalculés on doit identifier la première ligne correspondant aux préparations, pour cela on regarde le premier produit commençant par « Prépa »
Réponse :
    Donc ne pas modifier inutilement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tc={56046A4D-0B81-8F4E-BB78-692D6C71192C}</author>
  </authors>
  <commentList>
    <comment ref="A1" authorId="0" shapeId="0" xr:uid="{56046A4D-0B81-8F4E-BB78-692D6C71192C}">
      <text>
        <r>
          <rPr>
            <sz val="12"/>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La cellule ne doit pas être vide, vba(Excel) compte mal le nombre de colonne utilisées si cette cellule est vide, et j’ai besoin du nombre de colonnes pour effacer les listes déjà produites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tc={91FEB90F-BFB1-AE41-925E-5AE3FC63F670}</author>
  </authors>
  <commentList>
    <comment ref="A1" authorId="0" shapeId="0" xr:uid="{91FEB90F-BFB1-AE41-925E-5AE3FC63F670}">
      <text>
        <r>
          <rPr>
            <sz val="12"/>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La cellule ne doit pas être vide, vba(Excel) compte mal le nombre de colonne utilisées si cette cellule est vide, et j’ai besoin du nombre de colonnes pour effacer les listes déjà produites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tc={B31EF3CA-20EA-964E-BD83-74B34F89BEC3}</author>
  </authors>
  <commentList>
    <comment ref="B3" authorId="0" shapeId="0" xr:uid="{B31EF3CA-20EA-964E-BD83-74B34F89BEC3}">
      <text>
        <r>
          <rPr>
            <sz val="12"/>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Les libellés des préparations doivent nécessairement commencer par « Prépa - »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<sst xmlns="http://schemas.openxmlformats.org/spreadsheetml/2006/main" count="1936" uniqueCount="407">
  <si>
    <t>Produit</t>
  </si>
  <si>
    <t>Fournisseur</t>
  </si>
  <si>
    <t>Adresse</t>
  </si>
  <si>
    <t>N°SIRET</t>
  </si>
  <si>
    <t>Téléphone2</t>
  </si>
  <si>
    <t>Mél1</t>
  </si>
  <si>
    <t>Mél2</t>
  </si>
  <si>
    <t>Téléphone1</t>
  </si>
  <si>
    <t>Lait</t>
  </si>
  <si>
    <t>Œuf</t>
  </si>
  <si>
    <t>Sel fin</t>
  </si>
  <si>
    <t>Gros sel</t>
  </si>
  <si>
    <t>Farine de sarazin</t>
  </si>
  <si>
    <t>Farine de froment</t>
  </si>
  <si>
    <t>Conditionement à l'unité</t>
  </si>
  <si>
    <t>Beurre salé</t>
  </si>
  <si>
    <t>Ail</t>
  </si>
  <si>
    <t>Curry</t>
  </si>
  <si>
    <t>Cerfeuille</t>
  </si>
  <si>
    <t>Thym</t>
  </si>
  <si>
    <t>Laurier</t>
  </si>
  <si>
    <t>Epices x</t>
  </si>
  <si>
    <t>Fromage de chèvre</t>
  </si>
  <si>
    <t>Ammandes effilées</t>
  </si>
  <si>
    <t>Miel d'accacia</t>
  </si>
  <si>
    <t>Piment d'espelette</t>
  </si>
  <si>
    <t>Grosses noix de Saint-Jacques de Saint-Brieuc fraiche</t>
  </si>
  <si>
    <t>Grosses noix de Saint-Jacques de Saint-Brieuc surgelées</t>
  </si>
  <si>
    <t>Poivre</t>
  </si>
  <si>
    <t>Saucisse de Toulouse</t>
  </si>
  <si>
    <t>Moutarde</t>
  </si>
  <si>
    <t>Moutarde ancienne</t>
  </si>
  <si>
    <t>Huile de pépin de raisin</t>
  </si>
  <si>
    <t>Oignon</t>
  </si>
  <si>
    <t>Vin blanc</t>
  </si>
  <si>
    <t>Vin blanc sec</t>
  </si>
  <si>
    <t>Vin blanc demi-sec</t>
  </si>
  <si>
    <t>Vin rouge de Bordeaux xxx</t>
  </si>
  <si>
    <t>Vin rouge de Bordeaux yyy</t>
  </si>
  <si>
    <t>Jus de pomme</t>
  </si>
  <si>
    <t>Jus de poire</t>
  </si>
  <si>
    <t>Jus de cerise</t>
  </si>
  <si>
    <t>Sirop de fraise</t>
  </si>
  <si>
    <t>Breizh cola</t>
  </si>
  <si>
    <t>Carambar</t>
  </si>
  <si>
    <t>Amande d'amande en poudre</t>
  </si>
  <si>
    <t>Vanille de madagascar</t>
  </si>
  <si>
    <t>Arôme vanille</t>
  </si>
  <si>
    <t>Vanille en poudre</t>
  </si>
  <si>
    <t>Pastille de Chocolat noir</t>
  </si>
  <si>
    <t>Pastilles de Chocolat blanc</t>
  </si>
  <si>
    <t>Poire Comice</t>
  </si>
  <si>
    <t>Fraise Mara</t>
  </si>
  <si>
    <t>Sirop d'érable</t>
  </si>
  <si>
    <t>Citron jaune</t>
  </si>
  <si>
    <t>Citron vert</t>
  </si>
  <si>
    <t>Thé</t>
  </si>
  <si>
    <t>Chouchen</t>
  </si>
  <si>
    <t>Pommes Granny Smith</t>
  </si>
  <si>
    <t>METRO</t>
  </si>
  <si>
    <t>TFournisseurs</t>
  </si>
  <si>
    <t>TProduits</t>
  </si>
  <si>
    <t>Litre</t>
  </si>
  <si>
    <t>Kilogramme</t>
  </si>
  <si>
    <t>TUnités</t>
  </si>
  <si>
    <t>Sucre</t>
  </si>
  <si>
    <t>Emmental</t>
  </si>
  <si>
    <t>Jambon de porc</t>
  </si>
  <si>
    <t>Grand Marnier</t>
  </si>
  <si>
    <t>Cognac Breton</t>
  </si>
  <si>
    <t>Café moulu</t>
  </si>
  <si>
    <t>Prix de l'unité par unité de volume</t>
  </si>
  <si>
    <t>Unité de volume</t>
  </si>
  <si>
    <t>Thé vert</t>
  </si>
  <si>
    <t>Thé mandarine</t>
  </si>
  <si>
    <t>Thé earl grey</t>
  </si>
  <si>
    <t>Thé menthe</t>
  </si>
  <si>
    <t>Thé tilleul</t>
  </si>
  <si>
    <t>Prix de l'unité "local"</t>
  </si>
  <si>
    <t>Prix de l'unité "magasin"</t>
  </si>
  <si>
    <t>Saindoux</t>
  </si>
  <si>
    <t>Pièce</t>
  </si>
  <si>
    <t>Nombre</t>
  </si>
  <si>
    <t>Unité</t>
  </si>
  <si>
    <t>Prix unitaire de l'ingrédient</t>
  </si>
  <si>
    <t>Prix de l'ingrédient dans la recette</t>
  </si>
  <si>
    <t>Prix total de la recette</t>
  </si>
  <si>
    <t>"La barate sarazine" (crêpe au beurre)</t>
  </si>
  <si>
    <t>Crepe de sarazin de carhaix</t>
  </si>
  <si>
    <t>Crepe de froment de carhaix</t>
  </si>
  <si>
    <t>Creperie la Carhaisienne</t>
  </si>
  <si>
    <t>"L’Aiolia Bretonne"</t>
  </si>
  <si>
    <t>"La Curry de Madras"</t>
  </si>
  <si>
    <t>Aiguillette de poulet</t>
  </si>
  <si>
    <t>"La Mielleuse de Rocamadour"</t>
  </si>
  <si>
    <t>"Jacques de Carhaix"</t>
  </si>
  <si>
    <t>Prépa - Crème de poirreaux</t>
  </si>
  <si>
    <t>Poireau</t>
  </si>
  <si>
    <t>Prépa - Crème de Rocamadour</t>
  </si>
  <si>
    <t>"La Véritable de Rennes"</t>
  </si>
  <si>
    <t>Prépa - Sauce tomate</t>
  </si>
  <si>
    <t>Tomate</t>
  </si>
  <si>
    <t>Concentré de tomate</t>
  </si>
  <si>
    <t>Huile d'olive</t>
  </si>
  <si>
    <t>Prépa - Sauce moutarde</t>
  </si>
  <si>
    <t>Crème fraiche entière</t>
  </si>
  <si>
    <t>Crème liquide entière</t>
  </si>
  <si>
    <t>"La Complète complète"</t>
  </si>
  <si>
    <t>"L’illusion de Boucheot"</t>
  </si>
  <si>
    <t>Prépa - crème de Boucheot</t>
  </si>
  <si>
    <t>Prépa - crouton aillés</t>
  </si>
  <si>
    <t>Pain - Baguette</t>
  </si>
  <si>
    <t>Pain - complet</t>
  </si>
  <si>
    <t>Type</t>
  </si>
  <si>
    <t>Crêpe de sarazin</t>
  </si>
  <si>
    <t>Préparation</t>
  </si>
  <si>
    <t>"Kir breton"</t>
  </si>
  <si>
    <t>Crême de mûr</t>
  </si>
  <si>
    <t>Appéritif</t>
  </si>
  <si>
    <t>Cidre brut</t>
  </si>
  <si>
    <t>"Kir vin blanc"</t>
  </si>
  <si>
    <t>"Jus de fruit"</t>
  </si>
  <si>
    <t>"Bolée de cidre doux"</t>
  </si>
  <si>
    <t>"Lait frais"</t>
  </si>
  <si>
    <t>"Lait fraise"</t>
  </si>
  <si>
    <t>"Bolée de cidre brut"</t>
  </si>
  <si>
    <t>"Verre de vin rouge Breton"</t>
  </si>
  <si>
    <t>Cidre doux</t>
  </si>
  <si>
    <t>Recette</t>
  </si>
  <si>
    <t>Cout unitaire</t>
  </si>
  <si>
    <t>TTypesRecettes</t>
  </si>
  <si>
    <t>Boisson</t>
  </si>
  <si>
    <t>Marge %</t>
  </si>
  <si>
    <t>Marge euros</t>
  </si>
  <si>
    <t>Prix de vente</t>
  </si>
  <si>
    <t>Prix de vente minimum garantissant marge et cout</t>
  </si>
  <si>
    <t>Loyer</t>
  </si>
  <si>
    <t>Eau</t>
  </si>
  <si>
    <t>Nombre de portion</t>
  </si>
  <si>
    <t>n°semaine 2023</t>
  </si>
  <si>
    <t>La Frangiapane</t>
  </si>
  <si>
    <t>La Tout Choco</t>
  </si>
  <si>
    <t>La Comice du chocolatier</t>
  </si>
  <si>
    <t>La gourmandise blanche</t>
  </si>
  <si>
    <t>Le Grand Mara</t>
  </si>
  <si>
    <t>La Canadienne</t>
  </si>
  <si>
    <t>La Citronée</t>
  </si>
  <si>
    <t>La Suzette</t>
  </si>
  <si>
    <t>La suzette flambée Grand Marnier ©</t>
  </si>
  <si>
    <t>Cognac breton 10cL</t>
  </si>
  <si>
    <t>Café</t>
  </si>
  <si>
    <t>Chocolat chaud</t>
  </si>
  <si>
    <t>Chouchen 5cL</t>
  </si>
  <si>
    <t>Digestif</t>
  </si>
  <si>
    <t>Crêpe de froment sucrée</t>
  </si>
  <si>
    <t>Crêpe de froment au chocolat</t>
  </si>
  <si>
    <t>Crêpe de froment fruitée</t>
  </si>
  <si>
    <t>"La Beurre"</t>
  </si>
  <si>
    <t>"La Beurre Sucre"</t>
  </si>
  <si>
    <t>"La Caramel Beurre Sallé"</t>
  </si>
  <si>
    <t>"La Carambar"</t>
  </si>
  <si>
    <t>"La Pomme-Caramel"</t>
  </si>
  <si>
    <t>Prépa - caramel beurre salé</t>
  </si>
  <si>
    <t>Prépa - crème carambar</t>
  </si>
  <si>
    <t>Prépa - pomme sautées</t>
  </si>
  <si>
    <t>Prépa - crème frangipane</t>
  </si>
  <si>
    <t>Rhum</t>
  </si>
  <si>
    <t>Prépa - sauce chocolat</t>
  </si>
  <si>
    <t>Prépa - sauce chocolat blanc</t>
  </si>
  <si>
    <t>Prépa - pommes cuites</t>
  </si>
  <si>
    <t>Nbre jours d'ouverture</t>
  </si>
  <si>
    <t>Nbre jours d'ouverture avec coupure</t>
  </si>
  <si>
    <t>Nbre d'heures d'ouverture par jour avec coupure</t>
  </si>
  <si>
    <t>Nbre jours d'ouverture sans coupure</t>
  </si>
  <si>
    <t>Nbre d'heures d'ouverture par jour sans coupure</t>
  </si>
  <si>
    <t>Nbre couverts le midi</t>
  </si>
  <si>
    <t>Nbre couverts l'après-midi</t>
  </si>
  <si>
    <t>Nbre couverts le soir</t>
  </si>
  <si>
    <t>Ticket moyen midi et après-midi</t>
  </si>
  <si>
    <t>Ticket moyen soir</t>
  </si>
  <si>
    <t>Prix de revient du ticket moyen (coût matière)</t>
  </si>
  <si>
    <t>Nbre de salaires au SMIC salarié</t>
  </si>
  <si>
    <t>Nbre de salaires au SMIC gérant</t>
  </si>
  <si>
    <t>Montant du SMIC mensuel salarié</t>
  </si>
  <si>
    <t>Montant du SMIC mensuel gérant</t>
  </si>
  <si>
    <t>Consommation horaire d'une crêpière électrique</t>
  </si>
  <si>
    <t>Prix du m3 d'eau</t>
  </si>
  <si>
    <t>Mutuelle</t>
  </si>
  <si>
    <t>Jours avec coupure</t>
  </si>
  <si>
    <t>Jours sans coupure</t>
  </si>
  <si>
    <t>Total</t>
  </si>
  <si>
    <t>Moyenne par jour d'ouverture</t>
  </si>
  <si>
    <t>Entrées d'argent</t>
  </si>
  <si>
    <t>Sorties d'argent</t>
  </si>
  <si>
    <t>Achats</t>
  </si>
  <si>
    <t>Salaires</t>
  </si>
  <si>
    <t>Remboursement emprunt</t>
  </si>
  <si>
    <t>Achat fonds de commerce, travaux et aménagement</t>
  </si>
  <si>
    <t>TVA</t>
  </si>
  <si>
    <t>Comptable</t>
  </si>
  <si>
    <t>Tenue de la comptabilité, réalisation du bilan et du compte de résultat, dépôt des comptes, contrats, attestations employeurs etc.</t>
  </si>
  <si>
    <t>Electricité (autre que crêpières)</t>
  </si>
  <si>
    <t>Chauffage, climatisation, réfrigérateurs, lumière, enseigne etc. + abonnement triphasé 30 kVA</t>
  </si>
  <si>
    <t>Moyenne de 20 litres d'eau par couvert : préparation du repas, plonge, utilisation des toilettes</t>
  </si>
  <si>
    <t>Commission CB et tickets restaurant</t>
  </si>
  <si>
    <t>0,8 % du CA payé avec ces modes de paiement. CB et TR représentent 75% des paiements</t>
  </si>
  <si>
    <t>Maintenance</t>
  </si>
  <si>
    <t>Plombier, réparations et entretiens divers etc.</t>
  </si>
  <si>
    <t>Produits d'entretien</t>
  </si>
  <si>
    <t>Produits, éponges, lavettes, lessive, détergents etc.</t>
  </si>
  <si>
    <t xml:space="preserve">Taxes diverses </t>
  </si>
  <si>
    <t>CFE, taxe d'apprentissage, droit de terrasse etc.</t>
  </si>
  <si>
    <t>Assurances</t>
  </si>
  <si>
    <t>Assurance des biens et responsabilité civile. Pas d'assurance perte d'exploitation ou autre.</t>
  </si>
  <si>
    <t>Frais bancaires</t>
  </si>
  <si>
    <t>Tenue de compte, commission de mouvement, assistance TPE etc.</t>
  </si>
  <si>
    <t>Téléphone et accès internet</t>
  </si>
  <si>
    <t>Vêtements de travail</t>
  </si>
  <si>
    <t>Tabliers, polos brodés, chaussures de sécurité etc.</t>
  </si>
  <si>
    <t>Sacem</t>
  </si>
  <si>
    <t>Electricité crêpières</t>
  </si>
  <si>
    <t>Consommation horaire d'une crêpière x nombre d'heures d'ouverture x 3 crêpières</t>
  </si>
  <si>
    <t>Publicité et communication</t>
  </si>
  <si>
    <t>Hébergement du site internet, nom de domaine, flyers, cartes de visite etc. On suppose ici que le site internet est développé par les gérants et la communications vers les réseaux sociaux réalisée également en interne</t>
  </si>
  <si>
    <t>Dépenses diverses (5% du total des coûts)</t>
  </si>
  <si>
    <t>Remplacement d'un lave-vaisselle, achat de vaisselle etc.</t>
  </si>
  <si>
    <t>Total général</t>
  </si>
  <si>
    <t>NJO</t>
  </si>
  <si>
    <t>NHOJC</t>
  </si>
  <si>
    <t>NJOSC</t>
  </si>
  <si>
    <t>NHOJSC</t>
  </si>
  <si>
    <t>NCM</t>
  </si>
  <si>
    <t>NCAM</t>
  </si>
  <si>
    <t>NCPM</t>
  </si>
  <si>
    <t>TM</t>
  </si>
  <si>
    <t>TMS</t>
  </si>
  <si>
    <t>CTM</t>
  </si>
  <si>
    <t>NSS</t>
  </si>
  <si>
    <t>NSG</t>
  </si>
  <si>
    <t>MMS</t>
  </si>
  <si>
    <t>MMG</t>
  </si>
  <si>
    <t>CHCE</t>
  </si>
  <si>
    <t>CE</t>
  </si>
  <si>
    <t>M</t>
  </si>
  <si>
    <t>NCS</t>
  </si>
  <si>
    <t>[ NCAM x TM + NCPM x TM + NCS x TMS ] x NJOSC</t>
  </si>
  <si>
    <t>NSS x MMS + NSG x MMG</t>
  </si>
  <si>
    <t>NJOAC</t>
  </si>
  <si>
    <t>NJO - NJOAC</t>
  </si>
  <si>
    <t>[ NCAM x TM + NCS x TMS ] x NJOAC</t>
  </si>
  <si>
    <t>Moyenne du volume d'eau neccessaire par couvert (Litres)</t>
  </si>
  <si>
    <t>MVENC</t>
  </si>
  <si>
    <t>Nbre couverts les jours sans coupure</t>
  </si>
  <si>
    <t>Nbre couverts les jours avec coupure</t>
  </si>
  <si>
    <t>NCJSC</t>
  </si>
  <si>
    <t>NCJAC</t>
  </si>
  <si>
    <t>NCAM + NCPM + NCS</t>
  </si>
  <si>
    <t>NCAM + NCS</t>
  </si>
  <si>
    <t xml:space="preserve">NJOSC x NCJSC x  CTM + NJOAC x NCJAC x CTM </t>
  </si>
  <si>
    <t>Nbre couverts par mois</t>
  </si>
  <si>
    <t>NCJAC * NJOAC + NCJSC * NJOSC</t>
  </si>
  <si>
    <t>Pourcentage des paiements en CB &amp; TR</t>
  </si>
  <si>
    <t>CA</t>
  </si>
  <si>
    <t>PPCBTR</t>
  </si>
  <si>
    <t>Pourcentage commission CB TR</t>
  </si>
  <si>
    <t>PCCBTR</t>
  </si>
  <si>
    <t>NCM x CE x MVENC / 1000 x PPCBTR</t>
  </si>
  <si>
    <t>NS</t>
  </si>
  <si>
    <t>Nombre de salariés de l'entreprise</t>
  </si>
  <si>
    <t>CA / NJO</t>
  </si>
  <si>
    <t>CA x PPCBTR/100 x PCCBTR/100</t>
  </si>
  <si>
    <t>Nombre de billigs eléctriques</t>
  </si>
  <si>
    <t>( NJOAC x NHOJC + NJOSC x NHOJSC ) x NB x CHCE</t>
  </si>
  <si>
    <t>DEP</t>
  </si>
  <si>
    <t>Marge globale</t>
  </si>
  <si>
    <t>Pourcentage rentabilité</t>
  </si>
  <si>
    <t>CA - DEP</t>
  </si>
  <si>
    <t>MAR</t>
  </si>
  <si>
    <t>100 x MAR / CA</t>
  </si>
  <si>
    <t>PRENT</t>
  </si>
  <si>
    <t>NSS + NSG</t>
  </si>
  <si>
    <t>Totaux</t>
  </si>
  <si>
    <t>Produits</t>
  </si>
  <si>
    <t>Etat du stock semaine précédente</t>
  </si>
  <si>
    <t>Seuil critique</t>
  </si>
  <si>
    <t>Ventes</t>
  </si>
  <si>
    <t>Pertes observées</t>
  </si>
  <si>
    <t>Paramètre "seuil critique", nombre de couverts devant pouvoir être satisfaits :</t>
  </si>
  <si>
    <t>metro@boulot.dodo</t>
  </si>
  <si>
    <t>0000000</t>
  </si>
  <si>
    <t>01 02 03 04 06</t>
  </si>
  <si>
    <t>beta@yahoo.fr</t>
  </si>
  <si>
    <t>2 rue des accacias</t>
  </si>
  <si>
    <t>3333333</t>
  </si>
  <si>
    <t>04 05 06 07 08</t>
  </si>
  <si>
    <t>beta@gmail.com</t>
  </si>
  <si>
    <t>14 avenue de waterloo</t>
  </si>
  <si>
    <t>35 rue du bourbonnais 35000 Rennes</t>
  </si>
  <si>
    <t>12 rue Nationale 35460 Fougères</t>
  </si>
  <si>
    <t>Au sommet du mont-blanc</t>
  </si>
  <si>
    <t>en rouge les clés qui permettent d'identifier de manière unique l'élément dans la table</t>
  </si>
  <si>
    <t>chez moi</t>
  </si>
  <si>
    <t>7777777777</t>
  </si>
  <si>
    <t>06 78 05 20 22</t>
  </si>
  <si>
    <t>en jaune les reference à d'autre objet (on utilise les identifiants uniques)</t>
  </si>
  <si>
    <t>Marge</t>
  </si>
  <si>
    <t>Marge (entre 0 et 1)</t>
  </si>
  <si>
    <t>Alèrgène1</t>
  </si>
  <si>
    <t>Alèrgène2</t>
  </si>
  <si>
    <t>Alèrgène3</t>
  </si>
  <si>
    <t>Alèrgène4</t>
  </si>
  <si>
    <t>Alèrgène5</t>
  </si>
  <si>
    <t>Alèrgène6</t>
  </si>
  <si>
    <t>Alèrgène7</t>
  </si>
  <si>
    <t>Alèrgène8</t>
  </si>
  <si>
    <t>Alèrgène9</t>
  </si>
  <si>
    <t>Alèrgène10</t>
  </si>
  <si>
    <t>1. CÉRÉALES CONTENANT DU GLUTEN (KAMUT, ÉPEAUTRE, SEIGLE, AVOINE, BLÉ, ORGE) ET PRODUITS À BASE DE CES CÉRÉALES (ker sabot)</t>
  </si>
  <si>
    <t xml:space="preserve">Faire figurer sur l’emballage la présence des substances suivantes n’est pas obligatoire : </t>
  </si>
  <si>
    <t>-Sirops de glucose à base d'orge</t>
  </si>
  <si>
    <t>-Céréales utilisées pour la fabrication de distillats ou d'alcool éthylique d'origine agricole pour les boissons spiritueuses et autres boissons alcooliques.</t>
  </si>
  <si>
    <t>2. ŒUFS ET PRODUITS À BASE D’ŒUFS</t>
  </si>
  <si>
    <t>3. LAIT ET PRODUITS À BASE DE LAIT (Y COMPRIS DE LACTOSE :  Intolérance au lactose, APLV Allergie aux protéines de vaches)</t>
  </si>
  <si>
    <t>L’obligation ne s’applique pas au Lactosérum utilisé pour la fabrication de distillats ou alcool éthylique d'origine agricole pour les boissons spiritueuses et d'autres boissons alcooliques, et ne s’applique pas au Lactitol</t>
  </si>
  <si>
    <t>Info : La fermentation/L’affinage consomme les sucres (donc le lactose peut être diminué et donc être moins nuisible s’il a été affiné par exemple)</t>
  </si>
  <si>
    <t>4. ARACHIDES ET PRODUITS À BASE D'ARACHIDES</t>
  </si>
  <si>
    <t>5. FRUITS À COQUES (AMANDES, NOISETTES, NOIX, NOIX DE CAJOU, PÉCAN, MACADAMIA, DU BRÉSIL, DU QUEENSLAND, PISTACHES) ET PRODUITS À BASE DE CES FRUITS</t>
  </si>
  <si>
    <t>Sauf les fruits à coque utilisés pour la fabrication de distillats ou d'alcool éthylique d'origine agricole pour les boissons spiritueuses et d'autres boissons alcooliques.</t>
  </si>
  <si>
    <t>7. CÉLERI ET PRODUITS À BASE DE CÉLERI</t>
  </si>
  <si>
    <t>6. SOJA ET PRODUITS À BASE DE SOJA</t>
  </si>
  <si>
    <t>L’obligation ne s’applique pas aux éléments suivants :</t>
  </si>
  <si>
    <t>Huile et graisse de soja entièrement raffinées</t>
  </si>
  <si>
    <t>Tocophérols mixtes naturels</t>
  </si>
  <si>
    <t>Phytostérols et esters de phytostérol dérivés d'huiles végétales de soja</t>
  </si>
  <si>
    <t>Ester de stanol végétal produit à partir de stérols dérivés d'huiles végétales de soja</t>
  </si>
  <si>
    <t>8. MOUTARDE ET PRODUITS À BASE DE MOUTARDE</t>
  </si>
  <si>
    <t>9. SÉSAME ET PRODUITS À BASE DE GRAINES DE SÉSAME</t>
  </si>
  <si>
    <t>10. LUPIN ET PRODUITS À BASE DE LUPIN</t>
  </si>
  <si>
    <t>11. CRUSTACÉS ET PRODUITS À BASE DE CRUSTACÉS</t>
  </si>
  <si>
    <t>12. MOLLUSQUES ET PRODUITS À BASE DE MOLLUSQUES</t>
  </si>
  <si>
    <t>13. POISSONS ET PRODUITS À BASE DE POISSONS</t>
  </si>
  <si>
    <t>Ce n'est pas le cas de la gélatine de poisson utilisée comme support pour les préparations de vitamines, de caroténoïdes ou d'ichtyocolle par exemple (utilisée comme agent de clarification dans la bière et le vin).</t>
  </si>
  <si>
    <t>14. ANHYDRIDE SULFUREUX ET SULFITES EN CONCENTRATION DE PLUS DE 10 MG/KG OU 10 MG/L</t>
  </si>
  <si>
    <t>TAllergenes</t>
  </si>
  <si>
    <t>https://allergies-alimentaires.org/9-allergenes-prioritaires/allergie-aux-poissons-crustaces-mollusques/</t>
  </si>
  <si>
    <t>Alèrgène11</t>
  </si>
  <si>
    <t>Alèrgène12</t>
  </si>
  <si>
    <t>Alèrgène13</t>
  </si>
  <si>
    <t>Alèrgène14</t>
  </si>
  <si>
    <t>Alèrgène15</t>
  </si>
  <si>
    <t>Alèrgène16</t>
  </si>
  <si>
    <t>Alèrgène17</t>
  </si>
  <si>
    <t>Alèrgène18</t>
  </si>
  <si>
    <t>Alèrgène19</t>
  </si>
  <si>
    <t>Prépa - Pâton crêpe de Sarazin  de Carhaix</t>
  </si>
  <si>
    <t>Prépa - Pâton crêpe de Froment de Carhaix</t>
  </si>
  <si>
    <t>Allergenes</t>
  </si>
  <si>
    <t>5555555</t>
  </si>
  <si>
    <t>6666666</t>
  </si>
  <si>
    <t>88888888</t>
  </si>
  <si>
    <t>010101010</t>
  </si>
  <si>
    <t>02 29 36 54 25</t>
  </si>
  <si>
    <t>03 56 25 58 54</t>
  </si>
  <si>
    <t>07 28 54 12 25</t>
  </si>
  <si>
    <t>07 29 35 56 58</t>
  </si>
  <si>
    <t>Mr. Kertado</t>
  </si>
  <si>
    <t>Mme. Leguert</t>
  </si>
  <si>
    <t>Mr. &amp; Mme. Ploert</t>
  </si>
  <si>
    <t>Mr. &amp; Mme. Bernout</t>
  </si>
  <si>
    <t>Mr. Lochtert</t>
  </si>
  <si>
    <t>Mr. Lessage</t>
  </si>
  <si>
    <t>ZI de Kergaradec, 2 Rue Henri Becquerel, 29850 Gouesnou</t>
  </si>
  <si>
    <t>1 rue bidon</t>
  </si>
  <si>
    <t>05 24 58 74 25</t>
  </si>
  <si>
    <t>06 85 41 25 48</t>
  </si>
  <si>
    <t>06 23 56 98 85</t>
  </si>
  <si>
    <t>jeanpaul.vallee1@gmail.com</t>
  </si>
  <si>
    <t>Mr. Rubben</t>
  </si>
  <si>
    <t>C'est ce tableau qu'il faut regarder pour voir les produits présents dans les recettes fournis par les fournisseurs</t>
  </si>
  <si>
    <t>Ratio</t>
  </si>
  <si>
    <t>"Breizh Cola"</t>
  </si>
  <si>
    <t>Céréales contenant du gluten</t>
  </si>
  <si>
    <t>Arachides</t>
  </si>
  <si>
    <t>Fruits à coques</t>
  </si>
  <si>
    <t>Céleri</t>
  </si>
  <si>
    <t>Soja</t>
  </si>
  <si>
    <t>Sésame</t>
  </si>
  <si>
    <t>Lupin</t>
  </si>
  <si>
    <t>Crustacés</t>
  </si>
  <si>
    <t>Mollusques</t>
  </si>
  <si>
    <t>Poissons</t>
  </si>
  <si>
    <t>Anhydride sulfureux et sulfites</t>
  </si>
  <si>
    <t>Œufs</t>
  </si>
  <si>
    <t xml:space="preserve">Céréales contenant du gluten ; Œufs ; Lait ; </t>
  </si>
  <si>
    <t xml:space="preserve">Céréales contenant du gluten ; Œufs ; Lait ; Fruits à coques ; </t>
  </si>
  <si>
    <t xml:space="preserve">Céréales contenant du gluten ; Œufs ; Lait ; Mollusques ; </t>
  </si>
  <si>
    <t xml:space="preserve">Céréales contenant du gluten ; Œufs ; Lait ; Fruits à coques ; Moutarde ; </t>
  </si>
  <si>
    <t xml:space="preserve">Céréales contenant du gluten ; Œufs ; Lait ; Anhydride sulfureux et sulfites ; </t>
  </si>
  <si>
    <t xml:space="preserve">Lait ; </t>
  </si>
  <si>
    <t xml:space="preserve">Céréales contenant du gluten ; Œufs ; Lait ; Arachides ; </t>
  </si>
  <si>
    <t xml:space="preserve">Lait ; Fruits à coques ; </t>
  </si>
  <si>
    <t>"Le Nuage de Molène"</t>
  </si>
  <si>
    <t>Champignons</t>
  </si>
  <si>
    <t>Caramel</t>
  </si>
  <si>
    <t>Andouille</t>
  </si>
  <si>
    <t>Curé Nantais (Fromage)</t>
  </si>
  <si>
    <t>Appareil Nantaise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</si>
</sst>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 &quot;€&quot;"/>
  </numFmts>
  <fonts count="10" x14ac:knownFonts="1">
    <font>
      <sz val="12"/>
      <color theme="1"/>
      <name val="Calibri"/>
      <family val="2"/>
      <scheme val="minor"/>
    </font>
    <font>
      <b/>
      <sz val="12"/>
      <color theme="0"/>
      <name val="Calibri"/>
      <family val="2"/>
      <scheme val="minor"/>
    </font>
    <font>
      <b/>
      <sz val="12"/>
      <color theme="1"/>
      <name val="Calibri"/>
      <family val="2"/>
      <scheme val="minor"/>
    </font>
    <font>
      <sz val="12"/>
      <color theme="0"/>
      <name val="Calibri"/>
      <family val="2"/>
      <scheme val="minor"/>
    </font>
    <font>
      <b/>
      <sz val="11"/>
      <color theme="1"/>
      <name val="Calibri"/>
      <family val="2"/>
      <scheme val="minor"/>
    </font>
    <font>
      <sz val="12"/>
      <color rgb="FF000000"/>
      <name val="Calibri"/>
      <family val="2"/>
    </font>
    <font>
      <b/>
      <i/>
      <sz val="12"/>
      <color theme="0"/>
      <name val="Calibri"/>
      <family val="2"/>
      <scheme val="minor"/>
    </font>
    <font>
      <i/>
      <sz val="12"/>
      <color theme="0"/>
      <name val="Calibri"/>
      <family val="2"/>
      <scheme val="minor"/>
    </font>
    <font>
      <sz val="12"/>
      <name val="Calibri"/>
      <family val="2"/>
      <scheme val="minor"/>
    </font>
    <font>
      <sz val="12"/>
      <color rgb="FF000000"/>
      <name val="Arial"/>
      <family val="2"/>
    </font>
  </fonts>
  <fills count="24">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4"/>
        <bgColor indexed="64"/>
      </patternFill>
    </fill>
    <fill>
      <patternFill patternType="solid">
        <fgColor theme="5"/>
        <bgColor indexed="64"/>
      </patternFill>
    </fill>
    <fill>
      <patternFill patternType="solid">
        <fgColor rgb="FFFFC000"/>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theme="9"/>
        <bgColor indexed="64"/>
      </patternFill>
    </fill>
    <fill>
      <patternFill patternType="solid">
        <fgColor rgb="FF5B3413"/>
        <bgColor indexed="64"/>
      </patternFill>
    </fill>
    <fill>
      <patternFill patternType="solid">
        <fgColor rgb="FFF61066"/>
        <bgColor indexed="64"/>
      </patternFill>
    </fill>
    <fill>
      <patternFill patternType="solid">
        <fgColor rgb="FF68CAE8"/>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7"/>
        <bgColor indexed="64"/>
      </patternFill>
    </fill>
    <fill>
      <patternFill patternType="solid">
        <fgColor rgb="FFEDABAD"/>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5" tint="0.7999816888943144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134">
    <xf numFmtId="0" fontId="0" fillId="0" borderId="0" xfId="0"/>
    <xf numFmtId="0" fontId="1" fillId="2" borderId="0" xfId="0" applyFont="1" applyFill="1"/>
    <xf numFmtId="0" fontId="0" fillId="0" borderId="1" xfId="0" applyBorder="1"/>
    <xf numFmtId="0" fontId="0" fillId="3" borderId="1" xfId="0" applyFill="1" applyBorder="1"/>
    <xf numFmtId="49" fontId="1" fillId="2" borderId="1" xfId="0" applyNumberFormat="1" applyFont="1" applyFill="1" applyBorder="1" applyAlignment="1">
      <alignment horizontal="center" vertical="center" wrapText="1"/>
    </xf>
    <xf numFmtId="2" fontId="1" fillId="2" borderId="1" xfId="0" applyNumberFormat="1" applyFont="1" applyFill="1" applyBorder="1" applyAlignment="1">
      <alignment horizontal="center" vertical="center" wrapText="1"/>
    </xf>
    <xf numFmtId="164" fontId="0" fillId="0" borderId="1" xfId="0" applyNumberFormat="1" applyBorder="1"/>
    <xf numFmtId="2" fontId="1" fillId="2" borderId="0" xfId="0" applyNumberFormat="1" applyFont="1" applyFill="1"/>
    <xf numFmtId="2" fontId="0" fillId="0" borderId="1" xfId="0" applyNumberFormat="1" applyBorder="1"/>
    <xf numFmtId="2" fontId="0" fillId="0" borderId="0" xfId="0" applyNumberFormat="1"/>
    <xf numFmtId="164" fontId="1" fillId="2" borderId="0" xfId="0" applyNumberFormat="1" applyFont="1" applyFill="1"/>
    <xf numFmtId="164" fontId="0" fillId="0" borderId="0" xfId="0" applyNumberFormat="1"/>
    <xf numFmtId="0" fontId="1" fillId="7" borderId="0" xfId="0" applyFont="1" applyFill="1"/>
    <xf numFmtId="164" fontId="1" fillId="7" borderId="0" xfId="0" applyNumberFormat="1" applyFont="1" applyFill="1"/>
    <xf numFmtId="2" fontId="1" fillId="7" borderId="0" xfId="0" applyNumberFormat="1" applyFont="1" applyFill="1"/>
    <xf numFmtId="0" fontId="2" fillId="0" borderId="0" xfId="0" applyFont="1"/>
    <xf numFmtId="0" fontId="1" fillId="8" borderId="0" xfId="0" applyFont="1" applyFill="1"/>
    <xf numFmtId="164" fontId="1" fillId="8" borderId="0" xfId="0" applyNumberFormat="1" applyFont="1" applyFill="1"/>
    <xf numFmtId="2" fontId="1" fillId="8" borderId="0" xfId="0" applyNumberFormat="1" applyFont="1" applyFill="1"/>
    <xf numFmtId="0" fontId="1" fillId="0" borderId="0" xfId="0" applyFont="1"/>
    <xf numFmtId="49" fontId="1" fillId="2" borderId="6" xfId="0" applyNumberFormat="1" applyFont="1" applyFill="1" applyBorder="1" applyAlignment="1">
      <alignment horizontal="center" vertical="center" wrapText="1"/>
    </xf>
    <xf numFmtId="0" fontId="1" fillId="13" borderId="0" xfId="0" applyFont="1" applyFill="1"/>
    <xf numFmtId="164" fontId="1" fillId="13" borderId="0" xfId="0" applyNumberFormat="1" applyFont="1" applyFill="1"/>
    <xf numFmtId="2" fontId="1" fillId="13" borderId="0" xfId="0" applyNumberFormat="1" applyFont="1" applyFill="1"/>
    <xf numFmtId="0" fontId="1" fillId="15" borderId="0" xfId="0" applyFont="1" applyFill="1"/>
    <xf numFmtId="164" fontId="1" fillId="15" borderId="0" xfId="0" applyNumberFormat="1" applyFont="1" applyFill="1"/>
    <xf numFmtId="2" fontId="1" fillId="15" borderId="0" xfId="0" applyNumberFormat="1" applyFont="1" applyFill="1"/>
    <xf numFmtId="0" fontId="1" fillId="14" borderId="0" xfId="0" applyFont="1" applyFill="1"/>
    <xf numFmtId="164" fontId="1" fillId="14" borderId="0" xfId="0" applyNumberFormat="1" applyFont="1" applyFill="1"/>
    <xf numFmtId="2" fontId="1" fillId="14" borderId="0" xfId="0" applyNumberFormat="1" applyFont="1" applyFill="1"/>
    <xf numFmtId="2" fontId="1" fillId="2" borderId="6" xfId="0" applyNumberFormat="1" applyFont="1" applyFill="1" applyBorder="1" applyAlignment="1">
      <alignment horizontal="center" vertical="center" wrapText="1"/>
    </xf>
    <xf numFmtId="2" fontId="0" fillId="11" borderId="7" xfId="0" applyNumberFormat="1" applyFill="1" applyBorder="1" applyAlignment="1">
      <alignment horizontal="center"/>
    </xf>
    <xf numFmtId="2" fontId="0" fillId="11" borderId="4" xfId="0" applyNumberFormat="1" applyFill="1" applyBorder="1"/>
    <xf numFmtId="2" fontId="0" fillId="9" borderId="5" xfId="0" applyNumberFormat="1" applyFill="1" applyBorder="1"/>
    <xf numFmtId="2" fontId="0" fillId="12" borderId="8" xfId="0" applyNumberFormat="1" applyFill="1" applyBorder="1" applyAlignment="1">
      <alignment horizontal="center" vertical="center"/>
    </xf>
    <xf numFmtId="0" fontId="0" fillId="4" borderId="9" xfId="0" applyFill="1" applyBorder="1"/>
    <xf numFmtId="0" fontId="0" fillId="4" borderId="10" xfId="0" applyFill="1" applyBorder="1"/>
    <xf numFmtId="0" fontId="0" fillId="4" borderId="11" xfId="0" applyFill="1" applyBorder="1"/>
    <xf numFmtId="0" fontId="0" fillId="4" borderId="12" xfId="0" applyFill="1" applyBorder="1"/>
    <xf numFmtId="0" fontId="0" fillId="4" borderId="13" xfId="0" applyFill="1" applyBorder="1"/>
    <xf numFmtId="0" fontId="0" fillId="4" borderId="14" xfId="0" applyFill="1" applyBorder="1"/>
    <xf numFmtId="165" fontId="0" fillId="4" borderId="14" xfId="0" applyNumberFormat="1" applyFill="1" applyBorder="1"/>
    <xf numFmtId="3" fontId="0" fillId="4" borderId="14" xfId="0" applyNumberFormat="1" applyFill="1" applyBorder="1"/>
    <xf numFmtId="165" fontId="0" fillId="4" borderId="12" xfId="0" applyNumberFormat="1" applyFill="1" applyBorder="1"/>
    <xf numFmtId="3" fontId="0" fillId="4" borderId="10" xfId="0" applyNumberFormat="1" applyFill="1" applyBorder="1"/>
    <xf numFmtId="0" fontId="0" fillId="4" borderId="15" xfId="0" applyFill="1" applyBorder="1"/>
    <xf numFmtId="165" fontId="0" fillId="4" borderId="16" xfId="0" applyNumberFormat="1" applyFill="1" applyBorder="1"/>
    <xf numFmtId="0" fontId="2" fillId="17" borderId="12" xfId="0" applyFont="1" applyFill="1" applyBorder="1"/>
    <xf numFmtId="0" fontId="2" fillId="17" borderId="10" xfId="0" applyFont="1" applyFill="1" applyBorder="1"/>
    <xf numFmtId="165" fontId="2" fillId="0" borderId="0" xfId="0" applyNumberFormat="1" applyFont="1"/>
    <xf numFmtId="0" fontId="2" fillId="17" borderId="14" xfId="0" applyFont="1" applyFill="1" applyBorder="1"/>
    <xf numFmtId="4" fontId="0" fillId="4" borderId="14" xfId="0" applyNumberFormat="1" applyFill="1" applyBorder="1"/>
    <xf numFmtId="0" fontId="0" fillId="4" borderId="16" xfId="0" applyFill="1" applyBorder="1"/>
    <xf numFmtId="3" fontId="2" fillId="17" borderId="14" xfId="0" applyNumberFormat="1" applyFont="1" applyFill="1" applyBorder="1"/>
    <xf numFmtId="0" fontId="2" fillId="16" borderId="9" xfId="0" applyFont="1" applyFill="1" applyBorder="1"/>
    <xf numFmtId="0" fontId="0" fillId="16" borderId="10" xfId="0" applyFill="1" applyBorder="1"/>
    <xf numFmtId="0" fontId="0" fillId="16" borderId="13" xfId="0" applyFill="1" applyBorder="1"/>
    <xf numFmtId="165" fontId="2" fillId="10" borderId="14" xfId="0" applyNumberFormat="1" applyFont="1" applyFill="1" applyBorder="1"/>
    <xf numFmtId="165" fontId="0" fillId="16" borderId="14" xfId="0" applyNumberFormat="1" applyFill="1" applyBorder="1"/>
    <xf numFmtId="0" fontId="0" fillId="16" borderId="13" xfId="0" applyFill="1" applyBorder="1" applyAlignment="1">
      <alignment horizontal="right"/>
    </xf>
    <xf numFmtId="0" fontId="4" fillId="16" borderId="11" xfId="0" applyFont="1" applyFill="1" applyBorder="1" applyAlignment="1">
      <alignment horizontal="right"/>
    </xf>
    <xf numFmtId="165" fontId="4" fillId="16" borderId="12" xfId="0" applyNumberFormat="1" applyFont="1" applyFill="1" applyBorder="1"/>
    <xf numFmtId="0" fontId="2" fillId="5" borderId="9" xfId="0" applyFont="1" applyFill="1" applyBorder="1"/>
    <xf numFmtId="0" fontId="0" fillId="5" borderId="10" xfId="0" applyFill="1" applyBorder="1"/>
    <xf numFmtId="0" fontId="0" fillId="5" borderId="13" xfId="0" applyFill="1" applyBorder="1"/>
    <xf numFmtId="165" fontId="2" fillId="18" borderId="14" xfId="0" applyNumberFormat="1" applyFont="1" applyFill="1" applyBorder="1"/>
    <xf numFmtId="165" fontId="4" fillId="18" borderId="14" xfId="0" applyNumberFormat="1" applyFont="1" applyFill="1" applyBorder="1"/>
    <xf numFmtId="0" fontId="0" fillId="5" borderId="11" xfId="0" applyFill="1" applyBorder="1"/>
    <xf numFmtId="165" fontId="4" fillId="18" borderId="12" xfId="0" applyNumberFormat="1" applyFont="1" applyFill="1" applyBorder="1"/>
    <xf numFmtId="49" fontId="0" fillId="0" borderId="1" xfId="0" applyNumberFormat="1" applyBorder="1"/>
    <xf numFmtId="49" fontId="0" fillId="0" borderId="0" xfId="0" applyNumberFormat="1" applyAlignment="1">
      <alignment horizontal="center" vertical="center"/>
    </xf>
    <xf numFmtId="49" fontId="0" fillId="0" borderId="1" xfId="0" applyNumberFormat="1" applyBorder="1" applyAlignment="1">
      <alignment horizontal="center" vertical="center"/>
    </xf>
    <xf numFmtId="49" fontId="1" fillId="2" borderId="0" xfId="0" applyNumberFormat="1" applyFont="1" applyFill="1" applyAlignment="1">
      <alignment horizontal="center" vertical="center" wrapText="1"/>
    </xf>
    <xf numFmtId="0" fontId="1" fillId="2" borderId="1" xfId="0" applyFont="1" applyFill="1" applyBorder="1" applyAlignment="1">
      <alignment horizontal="center" vertical="center" wrapText="1"/>
    </xf>
    <xf numFmtId="0" fontId="1" fillId="19" borderId="0" xfId="0" applyFont="1" applyFill="1"/>
    <xf numFmtId="164" fontId="1" fillId="19" borderId="0" xfId="0" applyNumberFormat="1" applyFont="1" applyFill="1"/>
    <xf numFmtId="2" fontId="1" fillId="19" borderId="0" xfId="0" applyNumberFormat="1" applyFont="1" applyFill="1"/>
    <xf numFmtId="49" fontId="1" fillId="0" borderId="1" xfId="0" applyNumberFormat="1" applyFont="1" applyBorder="1" applyAlignment="1">
      <alignment horizontal="center" vertical="center" wrapText="1"/>
    </xf>
    <xf numFmtId="0" fontId="1" fillId="0" borderId="0" xfId="0" applyFont="1" applyAlignment="1">
      <alignment horizontal="center" vertical="center" wrapText="1"/>
    </xf>
    <xf numFmtId="49" fontId="0" fillId="0" borderId="17" xfId="0" applyNumberFormat="1" applyBorder="1" applyAlignment="1">
      <alignment horizontal="center" vertical="center"/>
    </xf>
    <xf numFmtId="0" fontId="0" fillId="0" borderId="17" xfId="0" applyBorder="1"/>
    <xf numFmtId="49" fontId="1" fillId="0" borderId="0" xfId="0" applyNumberFormat="1" applyFont="1" applyAlignment="1">
      <alignment horizontal="center" vertical="center" wrapText="1"/>
    </xf>
    <xf numFmtId="0" fontId="0" fillId="4" borderId="0" xfId="0" applyFill="1"/>
    <xf numFmtId="49" fontId="0" fillId="6" borderId="1" xfId="0" applyNumberFormat="1" applyFill="1" applyBorder="1" applyAlignment="1">
      <alignment horizontal="center" vertical="center"/>
    </xf>
    <xf numFmtId="49" fontId="0" fillId="0" borderId="2" xfId="0" applyNumberFormat="1" applyBorder="1" applyAlignment="1">
      <alignment horizontal="center" vertical="center"/>
    </xf>
    <xf numFmtId="0" fontId="0" fillId="20" borderId="1" xfId="0" applyFill="1" applyBorder="1"/>
    <xf numFmtId="0" fontId="0" fillId="20" borderId="0" xfId="0" applyFill="1"/>
    <xf numFmtId="0" fontId="0" fillId="3" borderId="2" xfId="0" applyFill="1" applyBorder="1"/>
    <xf numFmtId="49" fontId="1" fillId="21" borderId="1" xfId="0" applyNumberFormat="1" applyFont="1" applyFill="1" applyBorder="1" applyAlignment="1">
      <alignment horizontal="center" vertical="center" wrapText="1"/>
    </xf>
    <xf numFmtId="0" fontId="3" fillId="21" borderId="1" xfId="0" applyFont="1" applyFill="1" applyBorder="1"/>
    <xf numFmtId="0" fontId="1" fillId="21" borderId="1" xfId="0" applyFont="1" applyFill="1" applyBorder="1"/>
    <xf numFmtId="49" fontId="1" fillId="21" borderId="1" xfId="0" applyNumberFormat="1" applyFont="1" applyFill="1" applyBorder="1" applyAlignment="1">
      <alignment horizontal="left" vertical="center" wrapText="1"/>
    </xf>
    <xf numFmtId="49" fontId="3" fillId="21" borderId="1" xfId="0" applyNumberFormat="1" applyFont="1" applyFill="1" applyBorder="1" applyAlignment="1">
      <alignment horizontal="left" vertical="center" wrapText="1"/>
    </xf>
    <xf numFmtId="2" fontId="0" fillId="3" borderId="1" xfId="0" applyNumberFormat="1" applyFill="1" applyBorder="1"/>
    <xf numFmtId="0" fontId="0" fillId="3" borderId="3" xfId="0" applyFill="1" applyBorder="1"/>
    <xf numFmtId="49" fontId="3" fillId="12" borderId="1" xfId="0" applyNumberFormat="1" applyFont="1" applyFill="1" applyBorder="1" applyAlignment="1">
      <alignment horizontal="center" vertical="center" wrapText="1"/>
    </xf>
    <xf numFmtId="2" fontId="6" fillId="12" borderId="1" xfId="0" applyNumberFormat="1" applyFont="1" applyFill="1" applyBorder="1"/>
    <xf numFmtId="164" fontId="7" fillId="12" borderId="1" xfId="0" applyNumberFormat="1" applyFont="1" applyFill="1" applyBorder="1"/>
    <xf numFmtId="49" fontId="3" fillId="2" borderId="0" xfId="0" applyNumberFormat="1" applyFont="1" applyFill="1" applyAlignment="1">
      <alignment horizontal="left" vertical="center" wrapText="1"/>
    </xf>
    <xf numFmtId="49" fontId="3" fillId="2" borderId="0" xfId="0" applyNumberFormat="1" applyFont="1" applyFill="1" applyAlignment="1">
      <alignment horizontal="center" vertical="center" wrapText="1"/>
    </xf>
    <xf numFmtId="0" fontId="3" fillId="2" borderId="0" xfId="0" applyFont="1" applyFill="1"/>
    <xf numFmtId="164" fontId="7" fillId="2" borderId="0" xfId="0" applyNumberFormat="1" applyFont="1" applyFill="1"/>
    <xf numFmtId="0" fontId="0" fillId="2" borderId="0" xfId="0" applyFill="1"/>
    <xf numFmtId="0" fontId="0" fillId="2" borderId="1" xfId="0" applyFill="1" applyBorder="1"/>
    <xf numFmtId="49" fontId="1" fillId="12" borderId="1" xfId="0" applyNumberFormat="1" applyFont="1" applyFill="1" applyBorder="1" applyAlignment="1">
      <alignment horizontal="center" vertical="center" wrapText="1"/>
    </xf>
    <xf numFmtId="164" fontId="6" fillId="12" borderId="1" xfId="0" applyNumberFormat="1" applyFont="1" applyFill="1" applyBorder="1"/>
    <xf numFmtId="0" fontId="1" fillId="2" borderId="1" xfId="0" applyFont="1" applyFill="1" applyBorder="1"/>
    <xf numFmtId="0" fontId="2" fillId="2" borderId="1" xfId="0" applyFont="1" applyFill="1" applyBorder="1"/>
    <xf numFmtId="2" fontId="1" fillId="22" borderId="18" xfId="0" applyNumberFormat="1" applyFont="1" applyFill="1" applyBorder="1" applyAlignment="1">
      <alignment horizontal="center" vertical="center" wrapText="1"/>
    </xf>
    <xf numFmtId="0" fontId="3" fillId="22" borderId="1" xfId="0" applyFont="1" applyFill="1" applyBorder="1" applyAlignment="1">
      <alignment horizontal="center" vertical="center"/>
    </xf>
    <xf numFmtId="2" fontId="1" fillId="22" borderId="15" xfId="0" applyNumberFormat="1" applyFont="1" applyFill="1" applyBorder="1" applyAlignment="1">
      <alignment horizontal="center" vertical="center" wrapText="1"/>
    </xf>
    <xf numFmtId="2" fontId="1" fillId="2" borderId="0" xfId="0" applyNumberFormat="1" applyFont="1" applyFill="1" applyAlignment="1">
      <alignment horizontal="center" vertical="center" wrapText="1"/>
    </xf>
    <xf numFmtId="2" fontId="1" fillId="0" borderId="0" xfId="0" applyNumberFormat="1" applyFont="1" applyAlignment="1">
      <alignment horizontal="center" vertical="center" wrapText="1"/>
    </xf>
    <xf numFmtId="0" fontId="0" fillId="3" borderId="17" xfId="0" applyFill="1" applyBorder="1"/>
    <xf numFmtId="0" fontId="0" fillId="3" borderId="8" xfId="0" applyFill="1" applyBorder="1"/>
    <xf numFmtId="0" fontId="0" fillId="3" borderId="21" xfId="0" applyFill="1" applyBorder="1"/>
    <xf numFmtId="0" fontId="0" fillId="3" borderId="22" xfId="0" applyFill="1" applyBorder="1"/>
    <xf numFmtId="0" fontId="0" fillId="3" borderId="19" xfId="0" applyFill="1" applyBorder="1"/>
    <xf numFmtId="2" fontId="0" fillId="0" borderId="0" xfId="0" applyNumberFormat="1" applyAlignment="1">
      <alignment horizontal="center"/>
    </xf>
    <xf numFmtId="2" fontId="0" fillId="12" borderId="0" xfId="0" applyNumberFormat="1" applyFill="1"/>
    <xf numFmtId="0" fontId="8" fillId="2" borderId="0" xfId="0" applyFont="1" applyFill="1"/>
    <xf numFmtId="2" fontId="8" fillId="2" borderId="0" xfId="0" applyNumberFormat="1" applyFont="1" applyFill="1" applyAlignment="1">
      <alignment horizontal="center"/>
    </xf>
    <xf numFmtId="164" fontId="8" fillId="2" borderId="0" xfId="0" applyNumberFormat="1" applyFont="1" applyFill="1"/>
    <xf numFmtId="2" fontId="8" fillId="2" borderId="0" xfId="0" applyNumberFormat="1" applyFont="1" applyFill="1"/>
    <xf numFmtId="0" fontId="0" fillId="23" borderId="0" xfId="0" applyFill="1"/>
    <xf numFmtId="0" fontId="1" fillId="7" borderId="19" xfId="0" applyFont="1" applyFill="1" applyBorder="1"/>
    <xf numFmtId="49" fontId="1" fillId="2" borderId="23" xfId="0" applyNumberFormat="1" applyFont="1" applyFill="1" applyBorder="1" applyAlignment="1">
      <alignment horizontal="center" vertical="center" wrapText="1"/>
    </xf>
    <xf numFmtId="0" fontId="0" fillId="0" borderId="20" xfId="0" applyBorder="1" applyAlignment="1">
      <alignment horizontal="center" vertical="center"/>
    </xf>
    <xf numFmtId="0" fontId="1" fillId="2" borderId="0" xfId="0" applyFont="1" applyFill="1" applyAlignment="1">
      <alignment horizontal="center" vertical="center"/>
    </xf>
    <xf numFmtId="0" fontId="0" fillId="12" borderId="1" xfId="0" applyFill="1" applyBorder="1"/>
    <xf numFmtId="0" fontId="0" fillId="12" borderId="2" xfId="0" applyFill="1" applyBorder="1"/>
    <xf numFmtId="49" fontId="2" fillId="2" borderId="0" xfId="0" applyNumberFormat="1" applyFont="1" applyFill="1" applyAlignment="1">
      <alignment horizontal="center" vertical="center" wrapText="1"/>
    </xf>
    <xf numFmtId="2" fontId="0" fillId="2" borderId="0" xfId="0" applyNumberFormat="1" applyFill="1" applyAlignment="1">
      <alignment horizontal="center"/>
    </xf>
    <xf numFmtId="2" fontId="0" fillId="19" borderId="1" xfId="0" applyNumberFormat="1" applyFill="1" applyBorder="1"/>
  </cellXfs>
  <cellStyles count="1">
    <cellStyle name="Normal" xfId="0" builtinId="0"/>
  </cellStyles>
  <dxfs count="0"/>
  <tableStyles count="0" defaultTableStyle="TableStyleMedium2" defaultPivotStyle="PivotStyleLight16"/>
  <colors>
    <mruColors>
      <color rgb="FFEDABAD"/>
      <color rgb="FF68CAE8"/>
      <color rgb="FFF61066"/>
      <color rgb="FF5B34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63500</xdr:colOff>
          <xdr:row>0</xdr:row>
          <xdr:rowOff>0</xdr:rowOff>
        </xdr:from>
        <xdr:to>
          <xdr:col>29</xdr:col>
          <xdr:colOff>12700</xdr:colOff>
          <xdr:row>1</xdr:row>
          <xdr:rowOff>12700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300-00002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Recalculer les allèrènes des préparations à partir des recettes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165100</xdr:colOff>
          <xdr:row>0</xdr:row>
          <xdr:rowOff>63500</xdr:rowOff>
        </xdr:from>
        <xdr:to>
          <xdr:col>0</xdr:col>
          <xdr:colOff>1460500</xdr:colOff>
          <xdr:row>0</xdr:row>
          <xdr:rowOff>673100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Générer les listes de produits fournis par les producteurs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165100</xdr:colOff>
          <xdr:row>0</xdr:row>
          <xdr:rowOff>63500</xdr:rowOff>
        </xdr:from>
        <xdr:to>
          <xdr:col>0</xdr:col>
          <xdr:colOff>1270000</xdr:colOff>
          <xdr:row>0</xdr:row>
          <xdr:rowOff>736600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5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Générer les listes de produits fournis par les producteurs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0</xdr:row>
          <xdr:rowOff>63500</xdr:rowOff>
        </xdr:from>
        <xdr:to>
          <xdr:col>4</xdr:col>
          <xdr:colOff>774700</xdr:colOff>
          <xdr:row>0</xdr:row>
          <xdr:rowOff>419100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Raffraichir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0</xdr:row>
          <xdr:rowOff>203200</xdr:rowOff>
        </xdr:from>
        <xdr:to>
          <xdr:col>7</xdr:col>
          <xdr:colOff>1574800</xdr:colOff>
          <xdr:row>0</xdr:row>
          <xdr:rowOff>584200</xdr:rowOff>
        </xdr:to>
        <xdr:sp macro="" textlink="">
          <xdr:nvSpPr>
            <xdr:cNvPr id="11265" name="Button 1" descr="Raffraichir"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Arial" pitchFamily="2" charset="0"/>
                  <a:cs typeface="Arial" pitchFamily="2" charset="0"/>
                </a:rPr>
                <a:t>Raffraîchir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0</xdr:row>
          <xdr:rowOff>127000</xdr:rowOff>
        </xdr:from>
        <xdr:to>
          <xdr:col>12</xdr:col>
          <xdr:colOff>63500</xdr:colOff>
          <xdr:row>0</xdr:row>
          <xdr:rowOff>584200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Trier par cout unitaire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266700</xdr:colOff>
          <xdr:row>0</xdr:row>
          <xdr:rowOff>101600</xdr:rowOff>
        </xdr:from>
        <xdr:to>
          <xdr:col>14</xdr:col>
          <xdr:colOff>139700</xdr:colOff>
          <xdr:row>0</xdr:row>
          <xdr:rowOff>571500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8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Trier par Type puis par Recette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241300</xdr:rowOff>
        </xdr:from>
        <xdr:to>
          <xdr:col>6</xdr:col>
          <xdr:colOff>736600</xdr:colOff>
          <xdr:row>0</xdr:row>
          <xdr:rowOff>838200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Trier par type puis par Recette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228600</xdr:colOff>
          <xdr:row>0</xdr:row>
          <xdr:rowOff>228600</xdr:rowOff>
        </xdr:from>
        <xdr:to>
          <xdr:col>9</xdr:col>
          <xdr:colOff>101600</xdr:colOff>
          <xdr:row>0</xdr:row>
          <xdr:rowOff>825500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Trier par Prix de vente minimum</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0</xdr:row>
          <xdr:rowOff>203200</xdr:rowOff>
        </xdr:from>
        <xdr:to>
          <xdr:col>7</xdr:col>
          <xdr:colOff>1574800</xdr:colOff>
          <xdr:row>0</xdr:row>
          <xdr:rowOff>584200</xdr:rowOff>
        </xdr:to>
        <xdr:sp macro="" textlink="">
          <xdr:nvSpPr>
            <xdr:cNvPr id="16385" name="Button 1" descr="Raffraichir"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0" i="0" u="none" strike="noStrike" baseline="0">
                  <a:solidFill>
                    <a:srgbClr val="000000"/>
                  </a:solidFill>
                  <a:latin typeface="Calibri" pitchFamily="2" charset="0"/>
                  <a:cs typeface="Calibri" pitchFamily="2" charset="0"/>
                </a:rPr>
                <a:t>Raffraîchir</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an-paul vallée" id="{EC53489B-2ACF-BF4F-844C-AE4E93574E1A}" userId="74c1755d476a1a0c" providerId="Windows Live"/>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4" dT="2023-11-19T21:01:27.40" personId="{EC53489B-2ACF-BF4F-844C-AE4E93574E1A}" id="{A67694CD-0E5E-534D-AA37-8B2797F71E56}">
    <text>Les allergènes pour pouvoir être effacés et recalculés on doit identifier la première ligne correspondant aux préparations, pour cela on regarde le premier produit commençant par « Prépa »</text>
  </threadedComment>
  <threadedComment ref="A74" dT="2023-11-19T21:01:50.84" personId="{EC53489B-2ACF-BF4F-844C-AE4E93574E1A}" id="{1C6BDBC1-DDED-A14F-81F7-8CF1A278B06B}" parentId="{A67694CD-0E5E-534D-AA37-8B2797F71E56}">
    <text>Donc ne pas modifier inutilement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3-11-20T18:28:12.51" personId="{EC53489B-2ACF-BF4F-844C-AE4E93574E1A}" id="{56046A4D-0B81-8F4E-BB78-692D6C71192C}">
    <text>La cellule ne doit pas être vide, vba(Excel) compte mal le nombre de colonne utilisées si cette cellule est vide, et j’ai besoin du nombre de colonnes pour effacer les listes déjà produites</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3-11-20T18:28:12.51" personId="{EC53489B-2ACF-BF4F-844C-AE4E93574E1A}" id="{91FEB90F-BFB1-AE41-925E-5AE3FC63F670}">
    <text>La cellule ne doit pas être vide, vba(Excel) compte mal le nombre de colonne utilisées si cette cellule est vide, et j’ai besoin du nombre de colonnes pour effacer les listes déjà produites</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3-11-19T23:33:46.66" personId="{EC53489B-2ACF-BF4F-844C-AE4E93574E1A}" id="{B31EF3CA-20EA-964E-BD83-74B34F89BEC3}">
    <text>Les libellés des préparations doivent nécessairement commencer par « Prépa - » </text>
  </threadedComment>
</ThreadedComments>
</file>

<file path=xl/worksheets/_rels/sheet3.xml.rels><?xml version="1.0" encoding="UTF-8" standalone="yes"?>
<Relationships xmlns="http://schemas.openxmlformats.org/package/2006/relationships"><Relationship Id="rId2" Type="http://schemas.openxmlformats.org/officeDocument/2006/relationships/hyperlink" Target="mailto:beta@gmail.com" TargetMode="External"/><Relationship Id="rId1" Type="http://schemas.openxmlformats.org/officeDocument/2006/relationships/hyperlink" Target="mailto:beta@yahoo.fr" TargetMode="Externa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6.xml"/><Relationship Id="rId4" Type="http://schemas.openxmlformats.org/officeDocument/2006/relationships/ctrlProp" Target="../ctrlProps/ctrlProp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8.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4F72E-2B15-4D4A-AA2A-82B7E740D6BB}">
  <sheetPr codeName="Feuil1"/>
  <dimension ref="A1:F104"/>
  <sheetViews>
    <sheetView workbookViewId="0">
      <pane ySplit="1" topLeftCell="A2" activePane="bottomLeft" state="frozen"/>
      <selection activeCell="E53" sqref="E53"/>
      <selection pane="bottomLeft"/>
    </sheetView>
  </sheetViews>
  <sheetFormatPr baseColWidth="10" defaultRowHeight="16" x14ac:dyDescent="0.2"/>
  <cols>
    <col min="1" max="1" width="47.33203125" style="2" bestFit="1" customWidth="1"/>
    <col min="2" max="2" width="21.1640625" style="2" bestFit="1" customWidth="1"/>
    <col min="3" max="3" width="24.5" style="2" customWidth="1"/>
    <col min="4" max="4" width="32.33203125" style="2" customWidth="1"/>
    <col min="5" max="5" width="142.83203125" style="2" bestFit="1" customWidth="1"/>
    <col min="6" max="16384" width="10.83203125" style="2"/>
  </cols>
  <sheetData>
    <row r="1" spans="1:6" s="77" customFormat="1" ht="18" thickBot="1" x14ac:dyDescent="0.25">
      <c r="A1" s="4" t="s">
        <v>61</v>
      </c>
      <c r="B1" s="4" t="s">
        <v>60</v>
      </c>
      <c r="C1" s="4" t="s">
        <v>64</v>
      </c>
      <c r="D1" s="4" t="s">
        <v>130</v>
      </c>
      <c r="E1" s="20" t="s">
        <v>343</v>
      </c>
    </row>
    <row r="2" spans="1:6" x14ac:dyDescent="0.2">
      <c r="A2" s="3" t="s">
        <v>16</v>
      </c>
      <c r="B2" s="3" t="s">
        <v>370</v>
      </c>
      <c r="C2" s="3" t="s">
        <v>62</v>
      </c>
      <c r="D2" s="87" t="s">
        <v>114</v>
      </c>
      <c r="E2" s="114" t="s">
        <v>381</v>
      </c>
    </row>
    <row r="3" spans="1:6" x14ac:dyDescent="0.2">
      <c r="A3" s="3" t="s">
        <v>93</v>
      </c>
      <c r="B3" s="3"/>
      <c r="C3" s="3" t="s">
        <v>63</v>
      </c>
      <c r="D3" s="87" t="s">
        <v>115</v>
      </c>
      <c r="E3" s="115" t="s">
        <v>392</v>
      </c>
    </row>
    <row r="4" spans="1:6" ht="17" thickBot="1" x14ac:dyDescent="0.25">
      <c r="A4" s="3" t="s">
        <v>45</v>
      </c>
      <c r="B4" s="3" t="s">
        <v>368</v>
      </c>
      <c r="C4" s="3" t="s">
        <v>81</v>
      </c>
      <c r="D4" s="87" t="s">
        <v>118</v>
      </c>
      <c r="E4" s="116" t="s">
        <v>8</v>
      </c>
    </row>
    <row r="5" spans="1:6" x14ac:dyDescent="0.2">
      <c r="A5" s="3" t="s">
        <v>23</v>
      </c>
      <c r="B5" s="3" t="s">
        <v>369</v>
      </c>
      <c r="C5" s="3"/>
      <c r="D5" s="87" t="s">
        <v>131</v>
      </c>
      <c r="E5" s="114" t="s">
        <v>382</v>
      </c>
    </row>
    <row r="6" spans="1:6" ht="17" thickBot="1" x14ac:dyDescent="0.25">
      <c r="A6" s="3" t="s">
        <v>47</v>
      </c>
      <c r="B6" s="3"/>
      <c r="C6" s="3"/>
      <c r="D6" s="87" t="s">
        <v>154</v>
      </c>
      <c r="E6" s="116" t="s">
        <v>383</v>
      </c>
    </row>
    <row r="7" spans="1:6" x14ac:dyDescent="0.2">
      <c r="A7" s="3" t="s">
        <v>15</v>
      </c>
      <c r="B7" s="3" t="s">
        <v>365</v>
      </c>
      <c r="C7" s="3"/>
      <c r="D7" s="87" t="s">
        <v>155</v>
      </c>
      <c r="E7" s="114" t="s">
        <v>384</v>
      </c>
    </row>
    <row r="8" spans="1:6" ht="17" thickBot="1" x14ac:dyDescent="0.25">
      <c r="A8" s="3" t="s">
        <v>43</v>
      </c>
      <c r="B8" s="3" t="s">
        <v>366</v>
      </c>
      <c r="C8" s="3"/>
      <c r="D8" s="87" t="s">
        <v>156</v>
      </c>
      <c r="E8" s="116" t="s">
        <v>385</v>
      </c>
    </row>
    <row r="9" spans="1:6" x14ac:dyDescent="0.2">
      <c r="A9" s="3" t="s">
        <v>70</v>
      </c>
      <c r="B9" s="3" t="s">
        <v>367</v>
      </c>
      <c r="C9" s="3"/>
      <c r="D9" s="87" t="s">
        <v>153</v>
      </c>
      <c r="E9" s="114" t="s">
        <v>30</v>
      </c>
    </row>
    <row r="10" spans="1:6" x14ac:dyDescent="0.2">
      <c r="A10" s="3" t="s">
        <v>44</v>
      </c>
      <c r="B10" s="3"/>
      <c r="C10" s="3"/>
      <c r="D10" s="87"/>
      <c r="E10" s="115" t="s">
        <v>386</v>
      </c>
      <c r="F10" s="2" t="s">
        <v>344</v>
      </c>
    </row>
    <row r="11" spans="1:6" ht="17" thickBot="1" x14ac:dyDescent="0.25">
      <c r="A11" s="3" t="s">
        <v>18</v>
      </c>
      <c r="B11" s="3"/>
      <c r="C11" s="3"/>
      <c r="D11" s="87"/>
      <c r="E11" s="116" t="s">
        <v>387</v>
      </c>
    </row>
    <row r="12" spans="1:6" x14ac:dyDescent="0.2">
      <c r="A12" s="3" t="s">
        <v>57</v>
      </c>
      <c r="B12" s="3"/>
      <c r="D12" s="87"/>
      <c r="E12" s="114" t="s">
        <v>388</v>
      </c>
    </row>
    <row r="13" spans="1:6" x14ac:dyDescent="0.2">
      <c r="A13" s="3" t="s">
        <v>119</v>
      </c>
      <c r="B13" s="3"/>
      <c r="D13" s="87"/>
      <c r="E13" s="115" t="s">
        <v>389</v>
      </c>
    </row>
    <row r="14" spans="1:6" ht="17" thickBot="1" x14ac:dyDescent="0.25">
      <c r="A14" s="3" t="s">
        <v>127</v>
      </c>
      <c r="B14" s="3"/>
      <c r="D14" s="87"/>
      <c r="E14" s="116" t="s">
        <v>390</v>
      </c>
      <c r="F14" s="2" t="s">
        <v>317</v>
      </c>
    </row>
    <row r="15" spans="1:6" ht="17" thickBot="1" x14ac:dyDescent="0.25">
      <c r="A15" s="3" t="s">
        <v>54</v>
      </c>
      <c r="B15" s="3"/>
      <c r="D15" s="87"/>
      <c r="E15" s="117" t="s">
        <v>391</v>
      </c>
      <c r="F15" s="2" t="s">
        <v>318</v>
      </c>
    </row>
    <row r="16" spans="1:6" x14ac:dyDescent="0.2">
      <c r="A16" s="3" t="s">
        <v>55</v>
      </c>
      <c r="B16" s="3"/>
      <c r="E16" s="113"/>
      <c r="F16" s="2" t="e" cm="1">
        <f t="array" ref="F16">-Dextrose et autres sirops de glucose à base de blé</f>
        <v>#NAME?</v>
      </c>
    </row>
    <row r="17" spans="1:6" x14ac:dyDescent="0.2">
      <c r="A17" s="3" t="s">
        <v>69</v>
      </c>
      <c r="B17" s="3" t="s">
        <v>377</v>
      </c>
      <c r="E17" s="3"/>
      <c r="F17" s="2" t="e" cm="1">
        <f t="array" ref="F17">-Maltodextrines à base de blé</f>
        <v>#NAME?</v>
      </c>
    </row>
    <row r="18" spans="1:6" x14ac:dyDescent="0.2">
      <c r="A18" s="3" t="s">
        <v>102</v>
      </c>
      <c r="B18" s="3" t="s">
        <v>59</v>
      </c>
      <c r="E18" s="3"/>
      <c r="F18" s="2" t="s">
        <v>319</v>
      </c>
    </row>
    <row r="19" spans="1:6" x14ac:dyDescent="0.2">
      <c r="A19" s="3" t="s">
        <v>117</v>
      </c>
      <c r="B19" s="3"/>
      <c r="F19" s="2" t="s">
        <v>320</v>
      </c>
    </row>
    <row r="20" spans="1:6" x14ac:dyDescent="0.2">
      <c r="A20" s="3" t="s">
        <v>106</v>
      </c>
      <c r="B20" s="3" t="s">
        <v>90</v>
      </c>
    </row>
    <row r="21" spans="1:6" x14ac:dyDescent="0.2">
      <c r="A21" s="3" t="s">
        <v>105</v>
      </c>
      <c r="B21" s="3"/>
      <c r="F21" s="2" t="s">
        <v>321</v>
      </c>
    </row>
    <row r="22" spans="1:6" x14ac:dyDescent="0.2">
      <c r="A22" s="3" t="s">
        <v>17</v>
      </c>
      <c r="B22" s="3"/>
    </row>
    <row r="23" spans="1:6" x14ac:dyDescent="0.2">
      <c r="A23" s="3" t="s">
        <v>66</v>
      </c>
      <c r="F23" s="2" t="s">
        <v>322</v>
      </c>
    </row>
    <row r="24" spans="1:6" x14ac:dyDescent="0.2">
      <c r="A24" s="3" t="s">
        <v>21</v>
      </c>
      <c r="F24" s="2" t="s">
        <v>323</v>
      </c>
    </row>
    <row r="25" spans="1:6" x14ac:dyDescent="0.2">
      <c r="A25" s="3" t="s">
        <v>13</v>
      </c>
      <c r="F25" s="2" t="s">
        <v>324</v>
      </c>
    </row>
    <row r="26" spans="1:6" x14ac:dyDescent="0.2">
      <c r="A26" s="3" t="s">
        <v>12</v>
      </c>
    </row>
    <row r="27" spans="1:6" x14ac:dyDescent="0.2">
      <c r="A27" s="3" t="s">
        <v>52</v>
      </c>
    </row>
    <row r="28" spans="1:6" x14ac:dyDescent="0.2">
      <c r="A28" s="3" t="s">
        <v>22</v>
      </c>
      <c r="F28" s="2" t="s">
        <v>325</v>
      </c>
    </row>
    <row r="29" spans="1:6" x14ac:dyDescent="0.2">
      <c r="A29" s="3" t="s">
        <v>68</v>
      </c>
    </row>
    <row r="30" spans="1:6" x14ac:dyDescent="0.2">
      <c r="A30" s="3" t="s">
        <v>11</v>
      </c>
      <c r="F30" s="2" t="s">
        <v>326</v>
      </c>
    </row>
    <row r="31" spans="1:6" x14ac:dyDescent="0.2">
      <c r="A31" s="3" t="s">
        <v>26</v>
      </c>
      <c r="F31" s="2" t="s">
        <v>327</v>
      </c>
    </row>
    <row r="32" spans="1:6" x14ac:dyDescent="0.2">
      <c r="A32" s="3" t="s">
        <v>27</v>
      </c>
    </row>
    <row r="33" spans="1:6" x14ac:dyDescent="0.2">
      <c r="A33" s="3" t="s">
        <v>103</v>
      </c>
    </row>
    <row r="34" spans="1:6" x14ac:dyDescent="0.2">
      <c r="A34" s="3" t="s">
        <v>32</v>
      </c>
      <c r="F34" s="2" t="s">
        <v>328</v>
      </c>
    </row>
    <row r="35" spans="1:6" x14ac:dyDescent="0.2">
      <c r="A35" s="3" t="s">
        <v>67</v>
      </c>
    </row>
    <row r="36" spans="1:6" x14ac:dyDescent="0.2">
      <c r="A36" s="3" t="s">
        <v>41</v>
      </c>
      <c r="F36" s="2" t="s">
        <v>329</v>
      </c>
    </row>
    <row r="37" spans="1:6" x14ac:dyDescent="0.2">
      <c r="A37" s="3" t="s">
        <v>40</v>
      </c>
      <c r="F37" s="2" t="s">
        <v>330</v>
      </c>
    </row>
    <row r="38" spans="1:6" x14ac:dyDescent="0.2">
      <c r="A38" s="3" t="s">
        <v>39</v>
      </c>
      <c r="F38" s="2" t="s">
        <v>331</v>
      </c>
    </row>
    <row r="39" spans="1:6" x14ac:dyDescent="0.2">
      <c r="A39" s="3" t="s">
        <v>8</v>
      </c>
      <c r="F39" s="2" t="s">
        <v>332</v>
      </c>
    </row>
    <row r="40" spans="1:6" x14ac:dyDescent="0.2">
      <c r="A40" s="3" t="s">
        <v>20</v>
      </c>
      <c r="F40" s="2" t="s">
        <v>333</v>
      </c>
    </row>
    <row r="41" spans="1:6" x14ac:dyDescent="0.2">
      <c r="A41" s="3" t="s">
        <v>24</v>
      </c>
      <c r="F41" s="2" t="s">
        <v>334</v>
      </c>
    </row>
    <row r="42" spans="1:6" x14ac:dyDescent="0.2">
      <c r="A42" s="3" t="s">
        <v>30</v>
      </c>
    </row>
    <row r="43" spans="1:6" x14ac:dyDescent="0.2">
      <c r="A43" s="3" t="s">
        <v>31</v>
      </c>
    </row>
    <row r="44" spans="1:6" x14ac:dyDescent="0.2">
      <c r="A44" s="3" t="s">
        <v>9</v>
      </c>
      <c r="F44" s="2" t="s">
        <v>335</v>
      </c>
    </row>
    <row r="45" spans="1:6" x14ac:dyDescent="0.2">
      <c r="A45" s="3" t="s">
        <v>33</v>
      </c>
    </row>
    <row r="46" spans="1:6" x14ac:dyDescent="0.2">
      <c r="A46" s="3" t="s">
        <v>111</v>
      </c>
      <c r="F46" s="2" t="s">
        <v>336</v>
      </c>
    </row>
    <row r="47" spans="1:6" x14ac:dyDescent="0.2">
      <c r="A47" s="3" t="s">
        <v>112</v>
      </c>
    </row>
    <row r="48" spans="1:6" x14ac:dyDescent="0.2">
      <c r="A48" s="3" t="s">
        <v>49</v>
      </c>
      <c r="F48" s="2" t="s">
        <v>337</v>
      </c>
    </row>
    <row r="49" spans="1:6" x14ac:dyDescent="0.2">
      <c r="A49" s="3" t="s">
        <v>50</v>
      </c>
    </row>
    <row r="50" spans="1:6" x14ac:dyDescent="0.2">
      <c r="A50" s="3" t="s">
        <v>25</v>
      </c>
    </row>
    <row r="51" spans="1:6" x14ac:dyDescent="0.2">
      <c r="A51" s="3" t="s">
        <v>51</v>
      </c>
      <c r="F51" s="2" t="s">
        <v>338</v>
      </c>
    </row>
    <row r="52" spans="1:6" x14ac:dyDescent="0.2">
      <c r="A52" s="3" t="s">
        <v>97</v>
      </c>
    </row>
    <row r="53" spans="1:6" x14ac:dyDescent="0.2">
      <c r="A53" s="3" t="s">
        <v>28</v>
      </c>
      <c r="F53" s="2" t="s">
        <v>339</v>
      </c>
    </row>
    <row r="54" spans="1:6" x14ac:dyDescent="0.2">
      <c r="A54" s="3" t="s">
        <v>58</v>
      </c>
    </row>
    <row r="55" spans="1:6" x14ac:dyDescent="0.2">
      <c r="A55" s="3" t="s">
        <v>166</v>
      </c>
      <c r="F55" s="2" t="s">
        <v>340</v>
      </c>
    </row>
    <row r="56" spans="1:6" x14ac:dyDescent="0.2">
      <c r="A56" s="3" t="s">
        <v>80</v>
      </c>
      <c r="F56" s="2" t="s">
        <v>341</v>
      </c>
    </row>
    <row r="57" spans="1:6" x14ac:dyDescent="0.2">
      <c r="A57" s="3" t="s">
        <v>29</v>
      </c>
    </row>
    <row r="58" spans="1:6" x14ac:dyDescent="0.2">
      <c r="A58" s="3" t="s">
        <v>10</v>
      </c>
    </row>
    <row r="59" spans="1:6" x14ac:dyDescent="0.2">
      <c r="A59" s="3" t="s">
        <v>53</v>
      </c>
      <c r="F59" s="2" t="s">
        <v>342</v>
      </c>
    </row>
    <row r="60" spans="1:6" x14ac:dyDescent="0.2">
      <c r="A60" s="3" t="s">
        <v>42</v>
      </c>
    </row>
    <row r="61" spans="1:6" x14ac:dyDescent="0.2">
      <c r="A61" s="3" t="s">
        <v>117</v>
      </c>
    </row>
    <row r="62" spans="1:6" x14ac:dyDescent="0.2">
      <c r="A62" s="3" t="s">
        <v>65</v>
      </c>
    </row>
    <row r="63" spans="1:6" x14ac:dyDescent="0.2">
      <c r="A63" s="3" t="s">
        <v>75</v>
      </c>
    </row>
    <row r="64" spans="1:6" x14ac:dyDescent="0.2">
      <c r="A64" s="3" t="s">
        <v>74</v>
      </c>
    </row>
    <row r="65" spans="1:1" x14ac:dyDescent="0.2">
      <c r="A65" s="3" t="s">
        <v>76</v>
      </c>
    </row>
    <row r="66" spans="1:1" x14ac:dyDescent="0.2">
      <c r="A66" s="3" t="s">
        <v>77</v>
      </c>
    </row>
    <row r="67" spans="1:1" x14ac:dyDescent="0.2">
      <c r="A67" s="3" t="s">
        <v>73</v>
      </c>
    </row>
    <row r="68" spans="1:1" x14ac:dyDescent="0.2">
      <c r="A68" s="3" t="s">
        <v>19</v>
      </c>
    </row>
    <row r="69" spans="1:1" x14ac:dyDescent="0.2">
      <c r="A69" s="3" t="s">
        <v>101</v>
      </c>
    </row>
    <row r="70" spans="1:1" x14ac:dyDescent="0.2">
      <c r="A70" s="3" t="s">
        <v>46</v>
      </c>
    </row>
    <row r="71" spans="1:1" x14ac:dyDescent="0.2">
      <c r="A71" s="3" t="s">
        <v>48</v>
      </c>
    </row>
    <row r="72" spans="1:1" x14ac:dyDescent="0.2">
      <c r="A72" s="3" t="s">
        <v>34</v>
      </c>
    </row>
    <row r="73" spans="1:1" x14ac:dyDescent="0.2">
      <c r="A73" s="3" t="s">
        <v>36</v>
      </c>
    </row>
    <row r="74" spans="1:1" x14ac:dyDescent="0.2">
      <c r="A74" s="3" t="s">
        <v>35</v>
      </c>
    </row>
    <row r="75" spans="1:1" x14ac:dyDescent="0.2">
      <c r="A75" s="3" t="s">
        <v>37</v>
      </c>
    </row>
    <row r="76" spans="1:1" x14ac:dyDescent="0.2">
      <c r="A76" s="3" t="s">
        <v>38</v>
      </c>
    </row>
    <row r="77" spans="1:1" x14ac:dyDescent="0.2">
      <c r="A77" s="3"/>
    </row>
    <row r="78" spans="1:1" x14ac:dyDescent="0.2">
      <c r="A78" s="3"/>
    </row>
    <row r="79" spans="1:1" x14ac:dyDescent="0.2">
      <c r="A79" s="3" t="s">
        <v>354</v>
      </c>
    </row>
    <row r="80" spans="1:1" x14ac:dyDescent="0.2">
      <c r="A80" s="3" t="s">
        <v>355</v>
      </c>
    </row>
    <row r="81" spans="1:1" x14ac:dyDescent="0.2">
      <c r="A81" s="3"/>
    </row>
    <row r="82" spans="1:1" x14ac:dyDescent="0.2">
      <c r="A82" s="3"/>
    </row>
    <row r="83" spans="1:1" x14ac:dyDescent="0.2">
      <c r="A83" s="3"/>
    </row>
    <row r="84" spans="1:1" x14ac:dyDescent="0.2">
      <c r="A84" s="3" t="s">
        <v>96</v>
      </c>
    </row>
    <row r="85" spans="1:1" x14ac:dyDescent="0.2">
      <c r="A85" s="3" t="s">
        <v>98</v>
      </c>
    </row>
    <row r="86" spans="1:1" x14ac:dyDescent="0.2">
      <c r="A86" s="3" t="s">
        <v>100</v>
      </c>
    </row>
    <row r="87" spans="1:1" x14ac:dyDescent="0.2">
      <c r="A87" s="3" t="s">
        <v>104</v>
      </c>
    </row>
    <row r="88" spans="1:1" x14ac:dyDescent="0.2">
      <c r="A88" s="3" t="s">
        <v>109</v>
      </c>
    </row>
    <row r="89" spans="1:1" x14ac:dyDescent="0.2">
      <c r="A89" s="3" t="s">
        <v>110</v>
      </c>
    </row>
    <row r="90" spans="1:1" x14ac:dyDescent="0.2">
      <c r="A90" s="3"/>
    </row>
    <row r="91" spans="1:1" x14ac:dyDescent="0.2">
      <c r="A91" s="3" t="s">
        <v>162</v>
      </c>
    </row>
    <row r="92" spans="1:1" x14ac:dyDescent="0.2">
      <c r="A92" s="3" t="s">
        <v>163</v>
      </c>
    </row>
    <row r="93" spans="1:1" x14ac:dyDescent="0.2">
      <c r="A93" s="3" t="s">
        <v>164</v>
      </c>
    </row>
    <row r="94" spans="1:1" x14ac:dyDescent="0.2">
      <c r="A94" s="3" t="s">
        <v>165</v>
      </c>
    </row>
    <row r="95" spans="1:1" x14ac:dyDescent="0.2">
      <c r="A95" s="3" t="s">
        <v>167</v>
      </c>
    </row>
    <row r="96" spans="1:1" x14ac:dyDescent="0.2">
      <c r="A96" s="3" t="s">
        <v>168</v>
      </c>
    </row>
    <row r="97" spans="1:1" x14ac:dyDescent="0.2">
      <c r="A97" s="3" t="s">
        <v>169</v>
      </c>
    </row>
    <row r="98" spans="1:1" x14ac:dyDescent="0.2">
      <c r="A98" s="3"/>
    </row>
    <row r="99" spans="1:1" x14ac:dyDescent="0.2">
      <c r="A99" s="3"/>
    </row>
    <row r="100" spans="1:1" x14ac:dyDescent="0.2">
      <c r="A100" s="3"/>
    </row>
    <row r="101" spans="1:1" x14ac:dyDescent="0.2">
      <c r="A101" s="3"/>
    </row>
    <row r="102" spans="1:1" x14ac:dyDescent="0.2">
      <c r="A102" s="3"/>
    </row>
    <row r="103" spans="1:1" x14ac:dyDescent="0.2">
      <c r="A103" s="3"/>
    </row>
    <row r="104" spans="1:1" x14ac:dyDescent="0.2">
      <c r="A104" s="3"/>
    </row>
  </sheetData>
  <sortState xmlns:xlrd2="http://schemas.microsoft.com/office/spreadsheetml/2017/richdata2" ref="B2:B102">
    <sortCondition ref="B2:B102"/>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2E9F1-502C-3D40-B988-7C77A4768F7F}">
  <sheetPr codeName="Feuil11"/>
  <dimension ref="A1:F11"/>
  <sheetViews>
    <sheetView workbookViewId="0"/>
  </sheetViews>
  <sheetFormatPr baseColWidth="10" defaultRowHeight="16" x14ac:dyDescent="0.2"/>
  <cols>
    <col min="1" max="1" width="10.83203125" style="86"/>
  </cols>
  <sheetData>
    <row r="1" spans="1:6" ht="17" x14ac:dyDescent="0.2">
      <c r="A1" s="4" t="s">
        <v>83</v>
      </c>
    </row>
    <row r="2" spans="1:6" x14ac:dyDescent="0.2">
      <c r="A2" s="85" t="s">
        <v>62</v>
      </c>
    </row>
    <row r="3" spans="1:6" x14ac:dyDescent="0.2">
      <c r="A3" s="85" t="s">
        <v>63</v>
      </c>
    </row>
    <row r="4" spans="1:6" x14ac:dyDescent="0.2">
      <c r="A4" s="85" t="s">
        <v>81</v>
      </c>
    </row>
    <row r="5" spans="1:6" x14ac:dyDescent="0.2">
      <c r="A5" s="85"/>
    </row>
    <row r="6" spans="1:6" x14ac:dyDescent="0.2">
      <c r="A6" s="85"/>
    </row>
    <row r="7" spans="1:6" x14ac:dyDescent="0.2">
      <c r="A7" s="85"/>
    </row>
    <row r="8" spans="1:6" x14ac:dyDescent="0.2">
      <c r="A8" s="85"/>
      <c r="F8" t="s">
        <v>300</v>
      </c>
    </row>
    <row r="9" spans="1:6" x14ac:dyDescent="0.2">
      <c r="A9" s="85"/>
      <c r="F9" t="s">
        <v>304</v>
      </c>
    </row>
    <row r="10" spans="1:6" x14ac:dyDescent="0.2">
      <c r="A10" s="85"/>
    </row>
    <row r="11" spans="1:6" x14ac:dyDescent="0.2">
      <c r="A11" s="85"/>
    </row>
  </sheetData>
  <dataValidations count="1">
    <dataValidation type="list" allowBlank="1" showInputMessage="1" showErrorMessage="1" sqref="A2:A1048576" xr:uid="{76C2C512-723F-2C4C-AA06-40E715F6C520}">
      <formula1>TUnités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77686-9471-0048-81B0-852E715E015D}">
  <sheetPr codeName="Feuil2"/>
  <dimension ref="A1:G77"/>
  <sheetViews>
    <sheetView workbookViewId="0"/>
  </sheetViews>
  <sheetFormatPr baseColWidth="10" defaultRowHeight="16" x14ac:dyDescent="0.2"/>
  <cols>
    <col min="1" max="1" width="34.5" style="85" customWidth="1"/>
    <col min="2" max="2" width="49.83203125" style="71" bestFit="1" customWidth="1"/>
    <col min="3" max="3" width="19.33203125" style="71" customWidth="1"/>
    <col min="4" max="4" width="27.83203125" style="71" customWidth="1"/>
    <col min="5" max="5" width="24.6640625" style="71" customWidth="1"/>
    <col min="6" max="6" width="29.5" style="71" customWidth="1"/>
    <col min="7" max="7" width="22.1640625" style="84" customWidth="1"/>
  </cols>
  <sheetData>
    <row r="1" spans="1:7" ht="17" x14ac:dyDescent="0.2">
      <c r="A1" s="4" t="s">
        <v>1</v>
      </c>
      <c r="B1" s="4" t="s">
        <v>2</v>
      </c>
      <c r="C1" s="4" t="s">
        <v>3</v>
      </c>
      <c r="D1" s="4" t="s">
        <v>7</v>
      </c>
      <c r="E1" s="4" t="s">
        <v>4</v>
      </c>
      <c r="F1" s="4" t="s">
        <v>5</v>
      </c>
      <c r="G1" s="4" t="s">
        <v>6</v>
      </c>
    </row>
    <row r="2" spans="1:7" x14ac:dyDescent="0.2">
      <c r="A2" s="85" t="s">
        <v>59</v>
      </c>
      <c r="B2" s="71" t="s">
        <v>371</v>
      </c>
      <c r="C2" s="71">
        <v>111111111</v>
      </c>
      <c r="D2" s="71">
        <v>102030405</v>
      </c>
      <c r="F2" s="69" t="s">
        <v>288</v>
      </c>
      <c r="G2" s="69"/>
    </row>
    <row r="3" spans="1:7" x14ac:dyDescent="0.2">
      <c r="A3" s="85" t="s">
        <v>377</v>
      </c>
      <c r="B3" s="71" t="s">
        <v>372</v>
      </c>
      <c r="C3" s="71" t="s">
        <v>289</v>
      </c>
      <c r="D3" s="71" t="s">
        <v>290</v>
      </c>
      <c r="F3" t="s">
        <v>376</v>
      </c>
      <c r="G3" s="69" t="s">
        <v>291</v>
      </c>
    </row>
    <row r="4" spans="1:7" x14ac:dyDescent="0.2">
      <c r="A4" s="85" t="s">
        <v>365</v>
      </c>
      <c r="B4" s="71" t="s">
        <v>292</v>
      </c>
      <c r="C4" s="71" t="s">
        <v>293</v>
      </c>
      <c r="D4" s="71" t="s">
        <v>294</v>
      </c>
      <c r="E4" s="71" t="s">
        <v>294</v>
      </c>
      <c r="F4" s="69" t="s">
        <v>295</v>
      </c>
      <c r="G4" s="69"/>
    </row>
    <row r="5" spans="1:7" x14ac:dyDescent="0.2">
      <c r="A5" s="85" t="s">
        <v>367</v>
      </c>
      <c r="B5" s="71" t="s">
        <v>296</v>
      </c>
      <c r="C5" s="71" t="s">
        <v>357</v>
      </c>
      <c r="D5" s="71" t="s">
        <v>361</v>
      </c>
      <c r="E5" s="71" t="s">
        <v>373</v>
      </c>
      <c r="F5" s="69"/>
      <c r="G5" s="69"/>
    </row>
    <row r="6" spans="1:7" x14ac:dyDescent="0.2">
      <c r="A6" s="85" t="s">
        <v>369</v>
      </c>
      <c r="B6" s="71" t="s">
        <v>297</v>
      </c>
      <c r="C6" s="71" t="s">
        <v>358</v>
      </c>
      <c r="D6" s="71" t="s">
        <v>362</v>
      </c>
      <c r="E6" s="71" t="s">
        <v>374</v>
      </c>
      <c r="F6" s="69"/>
      <c r="G6" s="69"/>
    </row>
    <row r="7" spans="1:7" x14ac:dyDescent="0.2">
      <c r="A7" s="85" t="s">
        <v>368</v>
      </c>
      <c r="B7" s="71" t="s">
        <v>298</v>
      </c>
      <c r="C7" s="71" t="s">
        <v>359</v>
      </c>
      <c r="D7" s="71" t="s">
        <v>363</v>
      </c>
      <c r="F7" s="69"/>
      <c r="G7" s="69"/>
    </row>
    <row r="8" spans="1:7" x14ac:dyDescent="0.2">
      <c r="A8" s="85" t="s">
        <v>370</v>
      </c>
      <c r="B8" s="71" t="s">
        <v>299</v>
      </c>
      <c r="C8" s="71" t="s">
        <v>360</v>
      </c>
      <c r="D8" s="71" t="s">
        <v>364</v>
      </c>
      <c r="E8" s="71" t="s">
        <v>375</v>
      </c>
      <c r="F8" s="69"/>
      <c r="G8" s="69"/>
    </row>
    <row r="9" spans="1:7" x14ac:dyDescent="0.2">
      <c r="F9" s="69"/>
      <c r="G9" s="69"/>
    </row>
    <row r="10" spans="1:7" x14ac:dyDescent="0.2">
      <c r="F10" s="69"/>
      <c r="G10" s="69"/>
    </row>
    <row r="11" spans="1:7" x14ac:dyDescent="0.2">
      <c r="F11" s="69"/>
      <c r="G11" s="69"/>
    </row>
    <row r="12" spans="1:7" x14ac:dyDescent="0.2">
      <c r="A12" s="85" t="s">
        <v>90</v>
      </c>
      <c r="B12" s="83" t="s">
        <v>301</v>
      </c>
      <c r="C12" s="83" t="s">
        <v>302</v>
      </c>
      <c r="D12" s="83" t="s">
        <v>303</v>
      </c>
      <c r="E12" s="83"/>
      <c r="F12" s="83"/>
      <c r="G12" s="83"/>
    </row>
    <row r="13" spans="1:7" x14ac:dyDescent="0.2">
      <c r="A13" s="86"/>
      <c r="B13" s="70"/>
      <c r="C13" s="70"/>
      <c r="D13" s="70"/>
      <c r="E13" s="70"/>
      <c r="F13" s="70"/>
      <c r="G13" s="70"/>
    </row>
    <row r="14" spans="1:7" x14ac:dyDescent="0.2">
      <c r="A14" s="86"/>
      <c r="B14" s="70"/>
      <c r="C14" s="70"/>
      <c r="D14" s="70"/>
      <c r="E14" s="70"/>
      <c r="F14" s="70"/>
      <c r="G14" s="70"/>
    </row>
    <row r="15" spans="1:7" x14ac:dyDescent="0.2">
      <c r="A15" s="86"/>
      <c r="B15" s="70"/>
      <c r="C15" s="70"/>
      <c r="D15" s="70"/>
      <c r="E15" s="70"/>
      <c r="F15" s="70"/>
      <c r="G15" s="70"/>
    </row>
    <row r="16" spans="1:7" x14ac:dyDescent="0.2">
      <c r="A16" s="86"/>
      <c r="B16" s="70"/>
      <c r="C16" s="70"/>
      <c r="D16" s="70"/>
      <c r="E16" s="70"/>
      <c r="F16" s="70"/>
      <c r="G16" s="70"/>
    </row>
    <row r="17" spans="1:7" x14ac:dyDescent="0.2">
      <c r="A17" s="86"/>
      <c r="B17" s="70"/>
      <c r="C17" s="70"/>
      <c r="D17" s="70"/>
      <c r="E17" s="70"/>
      <c r="F17" s="70"/>
      <c r="G17" s="70"/>
    </row>
    <row r="18" spans="1:7" x14ac:dyDescent="0.2">
      <c r="A18" s="86"/>
      <c r="B18" s="70"/>
      <c r="C18" s="70"/>
      <c r="D18" s="70"/>
      <c r="E18" s="70"/>
      <c r="F18" s="70"/>
      <c r="G18" s="70"/>
    </row>
    <row r="19" spans="1:7" x14ac:dyDescent="0.2">
      <c r="A19" s="86"/>
      <c r="B19" s="70"/>
      <c r="C19" s="70"/>
      <c r="D19" s="70"/>
      <c r="E19" s="70"/>
      <c r="F19" s="70"/>
      <c r="G19" s="70"/>
    </row>
    <row r="20" spans="1:7" x14ac:dyDescent="0.2">
      <c r="A20" s="86"/>
      <c r="B20" s="70"/>
      <c r="C20" s="70"/>
      <c r="D20" s="70"/>
      <c r="E20" s="70"/>
      <c r="F20" s="70"/>
      <c r="G20" s="70"/>
    </row>
    <row r="21" spans="1:7" x14ac:dyDescent="0.2">
      <c r="A21" s="86"/>
      <c r="B21" s="70"/>
      <c r="C21" s="70"/>
      <c r="D21" s="70"/>
      <c r="E21" s="70"/>
      <c r="F21" s="70"/>
      <c r="G21" s="70"/>
    </row>
    <row r="22" spans="1:7" x14ac:dyDescent="0.2">
      <c r="A22" s="86"/>
      <c r="B22" s="70"/>
      <c r="C22" s="70"/>
      <c r="D22" s="70"/>
      <c r="E22" s="70"/>
      <c r="F22" s="70"/>
      <c r="G22" s="70"/>
    </row>
    <row r="23" spans="1:7" x14ac:dyDescent="0.2">
      <c r="A23" s="86"/>
      <c r="B23" s="70"/>
      <c r="C23" s="70"/>
      <c r="D23" s="70"/>
      <c r="E23" s="70"/>
      <c r="F23" s="70"/>
      <c r="G23" s="70"/>
    </row>
    <row r="24" spans="1:7" x14ac:dyDescent="0.2">
      <c r="A24" s="86"/>
      <c r="B24" s="70"/>
      <c r="C24" s="70"/>
      <c r="D24" s="70"/>
      <c r="E24" s="70"/>
      <c r="F24" s="70"/>
      <c r="G24" s="70"/>
    </row>
    <row r="25" spans="1:7" x14ac:dyDescent="0.2">
      <c r="A25" s="86"/>
      <c r="B25" s="70"/>
      <c r="C25" s="70"/>
      <c r="D25" s="70"/>
      <c r="E25" s="70"/>
      <c r="F25" s="70"/>
      <c r="G25" s="70"/>
    </row>
    <row r="26" spans="1:7" x14ac:dyDescent="0.2">
      <c r="A26" s="86"/>
      <c r="B26" s="70"/>
      <c r="C26" s="70"/>
      <c r="D26" s="70"/>
      <c r="E26" s="70"/>
      <c r="F26" s="70"/>
      <c r="G26" s="70"/>
    </row>
    <row r="27" spans="1:7" x14ac:dyDescent="0.2">
      <c r="A27" s="86"/>
      <c r="B27" s="70"/>
      <c r="C27" s="70"/>
      <c r="D27" s="70"/>
      <c r="E27" s="70"/>
      <c r="F27" s="70"/>
      <c r="G27" s="70"/>
    </row>
    <row r="28" spans="1:7" x14ac:dyDescent="0.2">
      <c r="A28" s="86"/>
      <c r="B28" s="70"/>
      <c r="C28" s="70"/>
      <c r="D28" s="70"/>
      <c r="E28" s="70"/>
      <c r="F28" s="70"/>
      <c r="G28" s="70"/>
    </row>
    <row r="29" spans="1:7" x14ac:dyDescent="0.2">
      <c r="A29" s="86"/>
      <c r="B29" s="70"/>
      <c r="C29" s="70"/>
      <c r="D29" s="70"/>
      <c r="E29" s="70"/>
      <c r="F29" s="70"/>
      <c r="G29" s="70"/>
    </row>
    <row r="30" spans="1:7" x14ac:dyDescent="0.2">
      <c r="A30" s="86"/>
      <c r="B30" s="70"/>
      <c r="C30" s="70"/>
      <c r="D30" s="70"/>
      <c r="E30" s="70"/>
      <c r="F30" s="70"/>
      <c r="G30" s="70"/>
    </row>
    <row r="31" spans="1:7" x14ac:dyDescent="0.2">
      <c r="A31" s="86"/>
      <c r="B31" s="70"/>
      <c r="C31" s="70"/>
      <c r="D31" s="70"/>
      <c r="E31" s="70"/>
      <c r="F31" s="70"/>
      <c r="G31" s="70"/>
    </row>
    <row r="32" spans="1:7" x14ac:dyDescent="0.2">
      <c r="A32" s="86"/>
      <c r="B32" s="70"/>
      <c r="C32" s="70"/>
      <c r="D32" s="70"/>
      <c r="E32" s="70"/>
      <c r="F32" s="70"/>
      <c r="G32" s="70"/>
    </row>
    <row r="33" spans="1:7" x14ac:dyDescent="0.2">
      <c r="A33" s="86"/>
      <c r="B33" s="70"/>
      <c r="C33" s="70"/>
      <c r="D33" s="70"/>
      <c r="E33" s="70"/>
      <c r="F33" s="70"/>
      <c r="G33" s="70"/>
    </row>
    <row r="34" spans="1:7" x14ac:dyDescent="0.2">
      <c r="A34" s="86"/>
      <c r="B34" s="70"/>
      <c r="C34" s="70"/>
      <c r="D34" s="70"/>
      <c r="E34" s="70"/>
      <c r="F34" s="70"/>
      <c r="G34" s="70"/>
    </row>
    <row r="35" spans="1:7" x14ac:dyDescent="0.2">
      <c r="A35" s="86"/>
      <c r="B35" s="70"/>
      <c r="C35" s="70"/>
      <c r="D35" s="70"/>
      <c r="E35" s="70"/>
      <c r="F35" s="70"/>
      <c r="G35" s="70"/>
    </row>
    <row r="36" spans="1:7" x14ac:dyDescent="0.2">
      <c r="A36" s="86"/>
      <c r="B36" s="70"/>
      <c r="C36" s="70"/>
      <c r="D36" s="70"/>
      <c r="E36" s="70"/>
      <c r="F36" s="70"/>
      <c r="G36" s="70"/>
    </row>
    <row r="37" spans="1:7" x14ac:dyDescent="0.2">
      <c r="A37" s="86"/>
      <c r="B37" s="70"/>
      <c r="C37" s="70"/>
      <c r="D37" s="70"/>
      <c r="E37" s="70"/>
      <c r="F37" s="70"/>
      <c r="G37" s="70"/>
    </row>
    <row r="38" spans="1:7" x14ac:dyDescent="0.2">
      <c r="A38" s="86"/>
      <c r="B38" s="70"/>
      <c r="C38" s="70"/>
      <c r="D38" s="70"/>
      <c r="E38" s="70"/>
      <c r="F38" s="70"/>
      <c r="G38" s="70"/>
    </row>
    <row r="39" spans="1:7" x14ac:dyDescent="0.2">
      <c r="A39" s="86"/>
      <c r="B39" s="70"/>
      <c r="C39" s="70"/>
      <c r="D39" s="70"/>
      <c r="E39" s="70"/>
      <c r="F39" s="70"/>
      <c r="G39" s="70"/>
    </row>
    <row r="40" spans="1:7" x14ac:dyDescent="0.2">
      <c r="A40" s="86"/>
      <c r="B40" s="70"/>
      <c r="C40" s="70"/>
      <c r="D40" s="70"/>
      <c r="E40" s="70"/>
      <c r="F40" s="70"/>
      <c r="G40" s="70"/>
    </row>
    <row r="41" spans="1:7" x14ac:dyDescent="0.2">
      <c r="A41" s="86"/>
      <c r="B41" s="70"/>
      <c r="C41" s="70"/>
      <c r="D41" s="70"/>
      <c r="E41" s="70"/>
      <c r="F41" s="70"/>
      <c r="G41" s="70"/>
    </row>
    <row r="42" spans="1:7" x14ac:dyDescent="0.2">
      <c r="A42" s="86"/>
      <c r="B42" s="70"/>
      <c r="C42" s="70"/>
      <c r="D42" s="70"/>
      <c r="E42" s="70"/>
      <c r="F42" s="70"/>
      <c r="G42" s="70"/>
    </row>
    <row r="43" spans="1:7" x14ac:dyDescent="0.2">
      <c r="A43" s="86"/>
      <c r="B43" s="70"/>
      <c r="C43" s="70"/>
      <c r="D43" s="70"/>
      <c r="E43" s="70"/>
      <c r="F43" s="70"/>
      <c r="G43" s="70"/>
    </row>
    <row r="44" spans="1:7" x14ac:dyDescent="0.2">
      <c r="A44" s="86"/>
      <c r="B44" s="70"/>
      <c r="C44" s="70"/>
      <c r="D44" s="70"/>
      <c r="E44" s="70"/>
      <c r="F44" s="70"/>
      <c r="G44" s="70"/>
    </row>
    <row r="45" spans="1:7" x14ac:dyDescent="0.2">
      <c r="A45" s="86"/>
      <c r="B45" s="70"/>
      <c r="C45" s="70"/>
      <c r="D45" s="70"/>
      <c r="E45" s="70"/>
      <c r="F45" s="70"/>
      <c r="G45" s="70"/>
    </row>
    <row r="46" spans="1:7" x14ac:dyDescent="0.2">
      <c r="A46" s="86"/>
      <c r="B46" s="70"/>
      <c r="C46" s="70"/>
      <c r="D46" s="70"/>
      <c r="E46" s="70"/>
      <c r="F46" s="70"/>
      <c r="G46" s="70"/>
    </row>
    <row r="47" spans="1:7" x14ac:dyDescent="0.2">
      <c r="A47" s="86"/>
      <c r="B47" s="70"/>
      <c r="C47" s="70"/>
      <c r="D47" s="70"/>
      <c r="E47" s="70"/>
      <c r="F47" s="70"/>
      <c r="G47" s="70"/>
    </row>
    <row r="48" spans="1:7" x14ac:dyDescent="0.2">
      <c r="A48" s="86"/>
      <c r="B48" s="70"/>
      <c r="C48" s="70"/>
      <c r="D48" s="70"/>
      <c r="E48" s="70"/>
      <c r="F48" s="70"/>
      <c r="G48" s="70"/>
    </row>
    <row r="49" spans="1:7" x14ac:dyDescent="0.2">
      <c r="A49" s="86"/>
      <c r="B49" s="70"/>
      <c r="C49" s="70"/>
      <c r="D49" s="70"/>
      <c r="E49" s="70"/>
      <c r="F49" s="70"/>
      <c r="G49" s="70"/>
    </row>
    <row r="50" spans="1:7" x14ac:dyDescent="0.2">
      <c r="A50" s="86"/>
      <c r="B50" s="70"/>
      <c r="C50" s="70"/>
      <c r="D50" s="70"/>
      <c r="E50" s="70"/>
      <c r="F50" s="70"/>
      <c r="G50" s="70"/>
    </row>
    <row r="51" spans="1:7" x14ac:dyDescent="0.2">
      <c r="A51" s="86"/>
      <c r="B51" s="70"/>
      <c r="C51" s="70"/>
      <c r="D51" s="70"/>
      <c r="E51" s="70"/>
      <c r="F51" s="70"/>
      <c r="G51" s="70"/>
    </row>
    <row r="52" spans="1:7" x14ac:dyDescent="0.2">
      <c r="A52" s="86"/>
      <c r="B52" s="70"/>
      <c r="C52" s="70"/>
      <c r="D52" s="70"/>
      <c r="E52" s="70"/>
      <c r="F52" s="70"/>
      <c r="G52" s="70"/>
    </row>
    <row r="53" spans="1:7" x14ac:dyDescent="0.2">
      <c r="A53" s="86"/>
      <c r="B53" s="70"/>
      <c r="C53" s="70"/>
      <c r="D53" s="70"/>
      <c r="E53" s="70"/>
      <c r="F53" s="70"/>
      <c r="G53" s="70"/>
    </row>
    <row r="54" spans="1:7" x14ac:dyDescent="0.2">
      <c r="A54" s="86"/>
      <c r="B54" s="70"/>
      <c r="C54" s="70"/>
      <c r="D54" s="70"/>
      <c r="E54" s="70"/>
      <c r="F54" s="70"/>
      <c r="G54" s="70"/>
    </row>
    <row r="55" spans="1:7" x14ac:dyDescent="0.2">
      <c r="A55" s="86"/>
      <c r="B55" s="70"/>
      <c r="C55" s="70"/>
      <c r="D55" s="70"/>
      <c r="E55" s="70"/>
      <c r="F55" s="70"/>
      <c r="G55" s="70"/>
    </row>
    <row r="56" spans="1:7" x14ac:dyDescent="0.2">
      <c r="A56" s="86"/>
      <c r="B56" s="70"/>
      <c r="C56" s="70"/>
      <c r="D56" s="70"/>
      <c r="E56" s="70"/>
      <c r="F56" s="70"/>
      <c r="G56" s="70"/>
    </row>
    <row r="57" spans="1:7" x14ac:dyDescent="0.2">
      <c r="A57" s="86"/>
      <c r="B57" s="70"/>
      <c r="C57" s="70"/>
      <c r="D57" s="70"/>
      <c r="E57" s="70"/>
      <c r="F57" s="70"/>
      <c r="G57" s="70"/>
    </row>
    <row r="58" spans="1:7" x14ac:dyDescent="0.2">
      <c r="A58" s="86"/>
      <c r="B58" s="70"/>
      <c r="C58" s="70"/>
      <c r="D58" s="70"/>
      <c r="E58" s="70"/>
      <c r="F58" s="70"/>
      <c r="G58" s="70"/>
    </row>
    <row r="59" spans="1:7" x14ac:dyDescent="0.2">
      <c r="A59" s="86"/>
      <c r="B59" s="70"/>
      <c r="C59" s="70"/>
      <c r="D59" s="70"/>
      <c r="E59" s="70"/>
      <c r="F59" s="70"/>
      <c r="G59" s="70"/>
    </row>
    <row r="60" spans="1:7" x14ac:dyDescent="0.2">
      <c r="A60" s="86"/>
      <c r="B60" s="70"/>
      <c r="C60" s="70"/>
      <c r="D60" s="70"/>
      <c r="E60" s="70"/>
      <c r="F60" s="70"/>
      <c r="G60" s="70"/>
    </row>
    <row r="61" spans="1:7" x14ac:dyDescent="0.2">
      <c r="A61" s="86"/>
      <c r="B61" s="70"/>
      <c r="C61" s="70"/>
      <c r="D61" s="70"/>
      <c r="E61" s="70"/>
      <c r="F61" s="70"/>
      <c r="G61" s="70"/>
    </row>
    <row r="62" spans="1:7" x14ac:dyDescent="0.2">
      <c r="A62" s="86"/>
      <c r="B62" s="70"/>
      <c r="C62" s="70"/>
      <c r="D62" s="70"/>
      <c r="E62" s="70"/>
      <c r="F62" s="70"/>
      <c r="G62" s="70"/>
    </row>
    <row r="63" spans="1:7" x14ac:dyDescent="0.2">
      <c r="A63" s="86"/>
      <c r="B63" s="70"/>
      <c r="C63" s="70"/>
      <c r="D63" s="70"/>
      <c r="E63" s="70"/>
      <c r="F63" s="70"/>
      <c r="G63" s="70"/>
    </row>
    <row r="64" spans="1:7" x14ac:dyDescent="0.2">
      <c r="A64" s="86"/>
      <c r="B64" s="70"/>
      <c r="C64" s="70"/>
      <c r="D64" s="70"/>
      <c r="E64" s="70"/>
      <c r="F64" s="70"/>
      <c r="G64" s="70"/>
    </row>
    <row r="65" spans="1:7" x14ac:dyDescent="0.2">
      <c r="A65" s="86"/>
      <c r="B65" s="70"/>
      <c r="C65" s="70"/>
      <c r="D65" s="70"/>
      <c r="E65" s="70"/>
      <c r="F65" s="70"/>
      <c r="G65" s="70"/>
    </row>
    <row r="66" spans="1:7" x14ac:dyDescent="0.2">
      <c r="A66" s="86"/>
      <c r="B66" s="70"/>
      <c r="C66" s="70"/>
      <c r="D66" s="70"/>
      <c r="E66" s="70"/>
      <c r="F66" s="70"/>
      <c r="G66" s="70"/>
    </row>
    <row r="67" spans="1:7" x14ac:dyDescent="0.2">
      <c r="A67" s="86"/>
      <c r="B67" s="70"/>
      <c r="C67" s="70"/>
      <c r="D67" s="70"/>
      <c r="E67" s="70"/>
      <c r="F67" s="70"/>
      <c r="G67" s="70"/>
    </row>
    <row r="68" spans="1:7" x14ac:dyDescent="0.2">
      <c r="A68" s="86"/>
      <c r="B68" s="70"/>
      <c r="C68" s="70"/>
      <c r="D68" s="70"/>
      <c r="E68" s="70"/>
      <c r="F68" s="70"/>
      <c r="G68" s="70"/>
    </row>
    <row r="69" spans="1:7" x14ac:dyDescent="0.2">
      <c r="A69" s="86"/>
      <c r="B69" s="70"/>
      <c r="C69" s="70"/>
      <c r="D69" s="70"/>
      <c r="E69" s="70"/>
      <c r="F69" s="70"/>
      <c r="G69" s="70"/>
    </row>
    <row r="70" spans="1:7" x14ac:dyDescent="0.2">
      <c r="A70" s="86"/>
      <c r="B70" s="70"/>
      <c r="C70" s="70"/>
      <c r="D70" s="70"/>
      <c r="E70" s="70"/>
      <c r="F70" s="70"/>
      <c r="G70" s="70"/>
    </row>
    <row r="71" spans="1:7" x14ac:dyDescent="0.2">
      <c r="A71" s="86"/>
      <c r="B71" s="70"/>
      <c r="C71" s="70"/>
      <c r="D71" s="70"/>
      <c r="E71" s="70"/>
      <c r="F71" s="70"/>
      <c r="G71" s="70"/>
    </row>
    <row r="72" spans="1:7" x14ac:dyDescent="0.2">
      <c r="A72" s="86"/>
      <c r="B72" s="70"/>
      <c r="C72" s="70"/>
      <c r="D72" s="70"/>
      <c r="E72" s="70"/>
      <c r="F72" s="70"/>
      <c r="G72" s="70"/>
    </row>
    <row r="73" spans="1:7" x14ac:dyDescent="0.2">
      <c r="A73" s="86"/>
      <c r="B73" s="70"/>
      <c r="C73" s="70"/>
      <c r="D73" s="70"/>
      <c r="E73" s="70"/>
      <c r="F73" s="70"/>
      <c r="G73" s="70"/>
    </row>
    <row r="74" spans="1:7" x14ac:dyDescent="0.2">
      <c r="A74" s="86"/>
      <c r="B74" s="70"/>
      <c r="C74" s="70"/>
      <c r="D74" s="70"/>
      <c r="E74" s="70"/>
      <c r="F74" s="70"/>
      <c r="G74" s="70"/>
    </row>
    <row r="75" spans="1:7" x14ac:dyDescent="0.2">
      <c r="A75" s="86"/>
      <c r="B75" s="70"/>
      <c r="C75" s="70"/>
      <c r="D75" s="70"/>
      <c r="E75" s="70"/>
      <c r="F75" s="70"/>
      <c r="G75" s="70"/>
    </row>
    <row r="76" spans="1:7" x14ac:dyDescent="0.2">
      <c r="A76" s="86"/>
      <c r="B76" s="70"/>
      <c r="C76" s="70"/>
      <c r="D76" s="70"/>
      <c r="E76" s="70"/>
      <c r="F76" s="70"/>
      <c r="G76" s="70"/>
    </row>
    <row r="77" spans="1:7" x14ac:dyDescent="0.2">
      <c r="A77" s="86"/>
      <c r="B77" s="70"/>
      <c r="C77" s="70"/>
      <c r="D77" s="70"/>
      <c r="E77" s="70"/>
      <c r="F77" s="70"/>
      <c r="G77" s="70"/>
    </row>
  </sheetData>
  <dataValidations count="1">
    <dataValidation type="list" allowBlank="1" showInputMessage="1" showErrorMessage="1" sqref="A78:A1048576 A2:A12" xr:uid="{FE2A384B-5308-5B4D-BA72-B7AE96E7BEA8}">
      <formula1>TFournisseurs</formula1>
    </dataValidation>
  </dataValidations>
  <hyperlinks>
    <hyperlink ref="G3" r:id="rId1" xr:uid="{49E27BB3-827B-B842-B098-DAC3C8DE29CD}"/>
    <hyperlink ref="F4" r:id="rId2" xr:uid="{FA8B8052-027F-0449-AD3C-89D80A071965}"/>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1CE7-A6EC-F643-BAD0-8F69D45AAEB6}">
  <sheetPr codeName="Feuil3"/>
  <dimension ref="A1:DD98"/>
  <sheetViews>
    <sheetView workbookViewId="0">
      <pane xSplit="3" ySplit="1" topLeftCell="D20" activePane="bottomRight" state="frozen"/>
      <selection activeCell="E53" sqref="E53"/>
      <selection pane="topRight" activeCell="E53" sqref="E53"/>
      <selection pane="bottomLeft" activeCell="E53" sqref="E53"/>
      <selection pane="bottomRight"/>
    </sheetView>
  </sheetViews>
  <sheetFormatPr baseColWidth="10" defaultRowHeight="16" x14ac:dyDescent="0.2"/>
  <cols>
    <col min="1" max="1" width="47.33203125" style="86" bestFit="1" customWidth="1"/>
    <col min="2" max="2" width="20.83203125" customWidth="1"/>
    <col min="3" max="3" width="27.1640625" customWidth="1"/>
    <col min="4" max="4" width="15.5" style="132" customWidth="1"/>
    <col min="5" max="5" width="15.5" style="118" customWidth="1"/>
    <col min="6" max="6" width="15.83203125" style="11" customWidth="1"/>
    <col min="7" max="7" width="17.83203125" style="119" customWidth="1"/>
    <col min="8" max="26" width="5.83203125" customWidth="1"/>
  </cols>
  <sheetData>
    <row r="1" spans="1:26" s="81" customFormat="1" ht="66" customHeight="1" x14ac:dyDescent="0.2">
      <c r="A1" s="72" t="s">
        <v>0</v>
      </c>
      <c r="B1" s="72" t="s">
        <v>1</v>
      </c>
      <c r="C1" s="72" t="s">
        <v>72</v>
      </c>
      <c r="D1" s="131" t="s">
        <v>78</v>
      </c>
      <c r="E1" s="72" t="s">
        <v>79</v>
      </c>
      <c r="F1" s="72" t="s">
        <v>14</v>
      </c>
      <c r="G1" s="72" t="s">
        <v>71</v>
      </c>
      <c r="H1" s="111" t="s">
        <v>307</v>
      </c>
      <c r="I1" s="111" t="s">
        <v>308</v>
      </c>
      <c r="J1" s="111" t="s">
        <v>309</v>
      </c>
      <c r="K1" s="111" t="s">
        <v>310</v>
      </c>
      <c r="L1" s="111" t="s">
        <v>311</v>
      </c>
      <c r="M1" s="111" t="s">
        <v>312</v>
      </c>
      <c r="N1" s="111" t="s">
        <v>313</v>
      </c>
      <c r="O1" s="111" t="s">
        <v>314</v>
      </c>
      <c r="P1" s="111" t="s">
        <v>315</v>
      </c>
      <c r="Q1" s="111" t="s">
        <v>316</v>
      </c>
      <c r="R1" s="111" t="s">
        <v>345</v>
      </c>
      <c r="S1" s="111" t="s">
        <v>346</v>
      </c>
      <c r="T1" s="111" t="s">
        <v>347</v>
      </c>
      <c r="U1" s="111" t="s">
        <v>348</v>
      </c>
      <c r="V1" s="111" t="s">
        <v>349</v>
      </c>
      <c r="W1" s="111" t="s">
        <v>350</v>
      </c>
      <c r="X1" s="111" t="s">
        <v>351</v>
      </c>
      <c r="Y1" s="111" t="s">
        <v>352</v>
      </c>
      <c r="Z1" s="111" t="s">
        <v>353</v>
      </c>
    </row>
    <row r="2" spans="1:26" x14ac:dyDescent="0.2">
      <c r="A2" s="86" t="s">
        <v>76</v>
      </c>
      <c r="B2" t="s">
        <v>59</v>
      </c>
      <c r="C2" t="s">
        <v>81</v>
      </c>
      <c r="E2" s="118">
        <v>1.55</v>
      </c>
      <c r="F2" s="11">
        <v>32</v>
      </c>
      <c r="G2" s="119">
        <f t="shared" ref="G2:G33" si="0">E2/F2</f>
        <v>4.8437500000000001E-2</v>
      </c>
    </row>
    <row r="3" spans="1:26" x14ac:dyDescent="0.2">
      <c r="A3" s="86" t="s">
        <v>75</v>
      </c>
      <c r="B3" t="s">
        <v>59</v>
      </c>
      <c r="C3" t="s">
        <v>81</v>
      </c>
      <c r="E3" s="118">
        <v>2.35</v>
      </c>
      <c r="F3" s="11">
        <v>25</v>
      </c>
      <c r="G3" s="119">
        <f t="shared" si="0"/>
        <v>9.4E-2</v>
      </c>
    </row>
    <row r="4" spans="1:26" x14ac:dyDescent="0.2">
      <c r="A4" s="86" t="s">
        <v>73</v>
      </c>
      <c r="B4" t="s">
        <v>59</v>
      </c>
      <c r="C4" t="s">
        <v>81</v>
      </c>
      <c r="E4" s="118">
        <v>2.75</v>
      </c>
      <c r="F4" s="11">
        <v>20</v>
      </c>
      <c r="G4" s="119">
        <f t="shared" si="0"/>
        <v>0.13750000000000001</v>
      </c>
    </row>
    <row r="5" spans="1:26" x14ac:dyDescent="0.2">
      <c r="A5" s="86" t="s">
        <v>74</v>
      </c>
      <c r="B5" t="s">
        <v>59</v>
      </c>
      <c r="C5" t="s">
        <v>81</v>
      </c>
      <c r="E5" s="118">
        <v>2.75</v>
      </c>
      <c r="F5" s="11">
        <v>20</v>
      </c>
      <c r="G5" s="119">
        <f t="shared" si="0"/>
        <v>0.13750000000000001</v>
      </c>
    </row>
    <row r="6" spans="1:26" x14ac:dyDescent="0.2">
      <c r="A6" s="86" t="s">
        <v>9</v>
      </c>
      <c r="B6" t="s">
        <v>59</v>
      </c>
      <c r="C6" t="s">
        <v>81</v>
      </c>
      <c r="E6" s="118">
        <v>4.29</v>
      </c>
      <c r="F6" s="11">
        <v>12</v>
      </c>
      <c r="G6" s="119">
        <f t="shared" si="0"/>
        <v>0.35749999999999998</v>
      </c>
      <c r="H6" t="s">
        <v>392</v>
      </c>
    </row>
    <row r="7" spans="1:26" x14ac:dyDescent="0.2">
      <c r="A7" s="86" t="s">
        <v>55</v>
      </c>
      <c r="B7" t="s">
        <v>377</v>
      </c>
      <c r="C7" t="s">
        <v>81</v>
      </c>
      <c r="E7" s="118">
        <v>2.09</v>
      </c>
      <c r="F7" s="11">
        <v>3</v>
      </c>
      <c r="G7" s="119">
        <f t="shared" si="0"/>
        <v>0.69666666666666666</v>
      </c>
    </row>
    <row r="8" spans="1:26" x14ac:dyDescent="0.2">
      <c r="A8" s="86" t="s">
        <v>10</v>
      </c>
      <c r="B8" t="s">
        <v>365</v>
      </c>
      <c r="C8" t="s">
        <v>63</v>
      </c>
      <c r="E8" s="118">
        <v>0.55000000000000004</v>
      </c>
      <c r="F8" s="11">
        <v>0.5</v>
      </c>
      <c r="G8" s="119">
        <f t="shared" si="0"/>
        <v>1.1000000000000001</v>
      </c>
    </row>
    <row r="9" spans="1:26" x14ac:dyDescent="0.2">
      <c r="A9" s="86" t="s">
        <v>29</v>
      </c>
      <c r="B9" t="s">
        <v>365</v>
      </c>
      <c r="C9" t="s">
        <v>81</v>
      </c>
      <c r="E9" s="118">
        <v>4.45</v>
      </c>
      <c r="F9" s="11">
        <v>4</v>
      </c>
      <c r="G9" s="119">
        <f t="shared" si="0"/>
        <v>1.1125</v>
      </c>
      <c r="H9" t="s">
        <v>383</v>
      </c>
      <c r="I9" t="s">
        <v>383</v>
      </c>
    </row>
    <row r="10" spans="1:26" x14ac:dyDescent="0.2">
      <c r="A10" s="86" t="s">
        <v>43</v>
      </c>
      <c r="B10" t="s">
        <v>59</v>
      </c>
      <c r="C10" t="s">
        <v>62</v>
      </c>
      <c r="E10" s="118">
        <v>1.75</v>
      </c>
      <c r="F10" s="11">
        <v>1.5</v>
      </c>
      <c r="G10" s="119">
        <f t="shared" si="0"/>
        <v>1.1666666666666667</v>
      </c>
    </row>
    <row r="11" spans="1:26" x14ac:dyDescent="0.2">
      <c r="A11" s="86" t="s">
        <v>13</v>
      </c>
      <c r="B11" t="s">
        <v>367</v>
      </c>
      <c r="C11" t="s">
        <v>63</v>
      </c>
      <c r="E11" s="118">
        <v>1.29</v>
      </c>
      <c r="F11" s="11">
        <v>1</v>
      </c>
      <c r="G11" s="119">
        <f t="shared" si="0"/>
        <v>1.29</v>
      </c>
      <c r="H11" t="s">
        <v>381</v>
      </c>
    </row>
    <row r="12" spans="1:26" x14ac:dyDescent="0.2">
      <c r="A12" s="86" t="s">
        <v>111</v>
      </c>
      <c r="B12" t="s">
        <v>59</v>
      </c>
      <c r="C12" t="s">
        <v>63</v>
      </c>
      <c r="E12" s="118">
        <v>1.29</v>
      </c>
      <c r="F12" s="11">
        <v>0.25</v>
      </c>
      <c r="G12" s="119">
        <f t="shared" si="0"/>
        <v>5.16</v>
      </c>
      <c r="H12" t="s">
        <v>381</v>
      </c>
    </row>
    <row r="13" spans="1:26" x14ac:dyDescent="0.2">
      <c r="A13" s="86" t="s">
        <v>33</v>
      </c>
      <c r="B13" t="s">
        <v>59</v>
      </c>
      <c r="C13" t="s">
        <v>63</v>
      </c>
      <c r="E13" s="118">
        <v>2.69</v>
      </c>
      <c r="F13" s="11">
        <v>2</v>
      </c>
      <c r="G13" s="119">
        <f t="shared" si="0"/>
        <v>1.345</v>
      </c>
    </row>
    <row r="14" spans="1:26" x14ac:dyDescent="0.2">
      <c r="A14" s="86" t="s">
        <v>8</v>
      </c>
      <c r="B14" t="s">
        <v>59</v>
      </c>
      <c r="C14" t="s">
        <v>62</v>
      </c>
      <c r="E14" s="118">
        <v>1.46</v>
      </c>
      <c r="F14" s="11">
        <v>1</v>
      </c>
      <c r="G14" s="119">
        <f t="shared" si="0"/>
        <v>1.46</v>
      </c>
      <c r="H14" t="s">
        <v>8</v>
      </c>
    </row>
    <row r="15" spans="1:26" x14ac:dyDescent="0.2">
      <c r="A15" s="86" t="s">
        <v>65</v>
      </c>
      <c r="B15" t="s">
        <v>59</v>
      </c>
      <c r="C15" t="s">
        <v>63</v>
      </c>
      <c r="E15" s="118">
        <v>1.85</v>
      </c>
      <c r="F15" s="11">
        <v>1</v>
      </c>
      <c r="G15" s="119">
        <f t="shared" si="0"/>
        <v>1.85</v>
      </c>
    </row>
    <row r="16" spans="1:26" x14ac:dyDescent="0.2">
      <c r="A16" s="86" t="s">
        <v>119</v>
      </c>
      <c r="B16" t="s">
        <v>377</v>
      </c>
      <c r="C16" t="s">
        <v>62</v>
      </c>
      <c r="E16" s="118">
        <v>1.89</v>
      </c>
      <c r="F16" s="11">
        <v>0.75</v>
      </c>
      <c r="G16" s="119">
        <f t="shared" si="0"/>
        <v>2.52</v>
      </c>
    </row>
    <row r="17" spans="1:8" x14ac:dyDescent="0.2">
      <c r="A17" s="86" t="s">
        <v>127</v>
      </c>
      <c r="B17" t="s">
        <v>377</v>
      </c>
      <c r="C17" t="s">
        <v>62</v>
      </c>
      <c r="E17" s="118">
        <v>1.89</v>
      </c>
      <c r="F17" s="11">
        <v>0.75</v>
      </c>
      <c r="G17" s="119">
        <f t="shared" si="0"/>
        <v>2.52</v>
      </c>
    </row>
    <row r="18" spans="1:8" x14ac:dyDescent="0.2">
      <c r="A18" s="86" t="s">
        <v>39</v>
      </c>
      <c r="B18" t="s">
        <v>377</v>
      </c>
      <c r="C18" t="s">
        <v>62</v>
      </c>
      <c r="E18" s="118">
        <v>2.59</v>
      </c>
      <c r="F18" s="11">
        <v>1</v>
      </c>
      <c r="G18" s="119">
        <f t="shared" si="0"/>
        <v>2.59</v>
      </c>
    </row>
    <row r="19" spans="1:8" x14ac:dyDescent="0.2">
      <c r="A19" s="86" t="s">
        <v>36</v>
      </c>
      <c r="B19" t="s">
        <v>370</v>
      </c>
      <c r="C19" t="s">
        <v>62</v>
      </c>
      <c r="E19" s="118">
        <v>2</v>
      </c>
      <c r="F19" s="11">
        <v>0.75</v>
      </c>
      <c r="G19" s="119">
        <f t="shared" si="0"/>
        <v>2.6666666666666665</v>
      </c>
    </row>
    <row r="20" spans="1:8" x14ac:dyDescent="0.2">
      <c r="A20" s="86" t="s">
        <v>37</v>
      </c>
      <c r="B20" t="s">
        <v>370</v>
      </c>
      <c r="C20" t="s">
        <v>62</v>
      </c>
      <c r="E20" s="118">
        <v>2</v>
      </c>
      <c r="F20" s="11">
        <v>0.75</v>
      </c>
      <c r="G20" s="119">
        <f t="shared" si="0"/>
        <v>2.6666666666666665</v>
      </c>
    </row>
    <row r="21" spans="1:8" x14ac:dyDescent="0.2">
      <c r="A21" s="86" t="s">
        <v>38</v>
      </c>
      <c r="B21" t="s">
        <v>370</v>
      </c>
      <c r="C21" t="s">
        <v>62</v>
      </c>
      <c r="E21" s="118">
        <v>2</v>
      </c>
      <c r="F21" s="11">
        <v>0.75</v>
      </c>
      <c r="G21" s="119">
        <f t="shared" si="0"/>
        <v>2.6666666666666665</v>
      </c>
    </row>
    <row r="22" spans="1:8" x14ac:dyDescent="0.2">
      <c r="A22" s="86" t="s">
        <v>58</v>
      </c>
      <c r="B22" t="s">
        <v>377</v>
      </c>
      <c r="C22" t="s">
        <v>63</v>
      </c>
      <c r="E22" s="118">
        <v>1.07</v>
      </c>
      <c r="F22" s="11">
        <v>0.4</v>
      </c>
      <c r="G22" s="119">
        <f t="shared" si="0"/>
        <v>2.6749999999999998</v>
      </c>
    </row>
    <row r="23" spans="1:8" x14ac:dyDescent="0.2">
      <c r="A23" s="86" t="s">
        <v>12</v>
      </c>
      <c r="B23" t="s">
        <v>367</v>
      </c>
      <c r="C23" t="s">
        <v>63</v>
      </c>
      <c r="D23" s="132">
        <v>4.75</v>
      </c>
      <c r="E23" s="118">
        <v>2.95</v>
      </c>
      <c r="F23" s="11">
        <v>1</v>
      </c>
      <c r="G23" s="119">
        <f t="shared" si="0"/>
        <v>2.95</v>
      </c>
    </row>
    <row r="24" spans="1:8" x14ac:dyDescent="0.2">
      <c r="A24" s="86" t="s">
        <v>101</v>
      </c>
      <c r="B24" t="s">
        <v>59</v>
      </c>
      <c r="C24" t="s">
        <v>63</v>
      </c>
      <c r="E24" s="118">
        <v>3.28</v>
      </c>
      <c r="F24" s="11">
        <v>1</v>
      </c>
      <c r="G24" s="119">
        <f t="shared" si="0"/>
        <v>3.28</v>
      </c>
    </row>
    <row r="25" spans="1:8" x14ac:dyDescent="0.2">
      <c r="A25" s="86" t="s">
        <v>102</v>
      </c>
      <c r="B25" t="s">
        <v>59</v>
      </c>
      <c r="C25" t="s">
        <v>63</v>
      </c>
      <c r="E25" s="118">
        <v>1.55</v>
      </c>
      <c r="F25" s="11">
        <v>0.44</v>
      </c>
      <c r="G25" s="119">
        <f t="shared" si="0"/>
        <v>3.5227272727272729</v>
      </c>
    </row>
    <row r="26" spans="1:8" x14ac:dyDescent="0.2">
      <c r="A26" s="86" t="s">
        <v>40</v>
      </c>
      <c r="B26" t="s">
        <v>377</v>
      </c>
      <c r="C26" t="s">
        <v>62</v>
      </c>
      <c r="E26" s="118">
        <v>3.55</v>
      </c>
      <c r="F26" s="11">
        <v>1</v>
      </c>
      <c r="G26" s="119">
        <f t="shared" si="0"/>
        <v>3.55</v>
      </c>
    </row>
    <row r="27" spans="1:8" x14ac:dyDescent="0.2">
      <c r="A27" s="86" t="s">
        <v>35</v>
      </c>
      <c r="B27" t="s">
        <v>370</v>
      </c>
      <c r="C27" t="s">
        <v>62</v>
      </c>
      <c r="E27" s="118">
        <v>2.79</v>
      </c>
      <c r="F27" s="11">
        <v>0.75</v>
      </c>
      <c r="G27" s="119">
        <f t="shared" si="0"/>
        <v>3.72</v>
      </c>
    </row>
    <row r="28" spans="1:8" x14ac:dyDescent="0.2">
      <c r="A28" s="86" t="s">
        <v>54</v>
      </c>
      <c r="B28" t="s">
        <v>377</v>
      </c>
      <c r="C28" t="s">
        <v>81</v>
      </c>
      <c r="E28" s="118">
        <v>0.9</v>
      </c>
      <c r="F28" s="11">
        <v>1</v>
      </c>
      <c r="G28" s="119">
        <f t="shared" si="0"/>
        <v>0.9</v>
      </c>
    </row>
    <row r="29" spans="1:8" x14ac:dyDescent="0.2">
      <c r="A29" s="86" t="s">
        <v>106</v>
      </c>
      <c r="B29" t="s">
        <v>368</v>
      </c>
      <c r="C29" t="s">
        <v>62</v>
      </c>
      <c r="E29" s="118">
        <v>4.49</v>
      </c>
      <c r="F29" s="11">
        <v>1</v>
      </c>
      <c r="G29" s="119">
        <f t="shared" si="0"/>
        <v>4.49</v>
      </c>
      <c r="H29" t="s">
        <v>8</v>
      </c>
    </row>
    <row r="30" spans="1:8" x14ac:dyDescent="0.2">
      <c r="A30" s="86" t="s">
        <v>97</v>
      </c>
      <c r="B30" t="s">
        <v>59</v>
      </c>
      <c r="C30" t="s">
        <v>63</v>
      </c>
      <c r="E30" s="118">
        <v>3.49</v>
      </c>
      <c r="F30" s="11">
        <v>0.75</v>
      </c>
      <c r="G30" s="119">
        <f t="shared" si="0"/>
        <v>4.6533333333333333</v>
      </c>
    </row>
    <row r="31" spans="1:8" x14ac:dyDescent="0.2">
      <c r="A31" s="86" t="s">
        <v>41</v>
      </c>
      <c r="B31" t="s">
        <v>377</v>
      </c>
      <c r="C31" t="s">
        <v>62</v>
      </c>
      <c r="E31" s="118">
        <v>3.55</v>
      </c>
      <c r="F31" s="11">
        <v>0.7</v>
      </c>
      <c r="G31" s="119">
        <f t="shared" si="0"/>
        <v>5.0714285714285712</v>
      </c>
    </row>
    <row r="32" spans="1:8" x14ac:dyDescent="0.2">
      <c r="A32" s="86" t="s">
        <v>42</v>
      </c>
      <c r="B32" t="s">
        <v>377</v>
      </c>
      <c r="C32" t="s">
        <v>62</v>
      </c>
      <c r="E32" s="118">
        <v>3.55</v>
      </c>
      <c r="F32" s="11">
        <v>0.7</v>
      </c>
      <c r="G32" s="119">
        <f t="shared" si="0"/>
        <v>5.0714285714285712</v>
      </c>
    </row>
    <row r="33" spans="1:9" x14ac:dyDescent="0.2">
      <c r="A33" s="86" t="s">
        <v>30</v>
      </c>
      <c r="B33" t="s">
        <v>59</v>
      </c>
      <c r="C33" t="s">
        <v>63</v>
      </c>
      <c r="E33" s="118">
        <v>2.25</v>
      </c>
      <c r="F33" s="11">
        <v>0.43</v>
      </c>
      <c r="G33" s="119">
        <f t="shared" si="0"/>
        <v>5.2325581395348841</v>
      </c>
      <c r="H33" t="s">
        <v>30</v>
      </c>
    </row>
    <row r="34" spans="1:9" x14ac:dyDescent="0.2">
      <c r="A34" s="86" t="s">
        <v>77</v>
      </c>
      <c r="B34" t="s">
        <v>59</v>
      </c>
      <c r="C34" t="s">
        <v>81</v>
      </c>
      <c r="E34" s="118">
        <v>1.85</v>
      </c>
      <c r="F34" s="11">
        <v>20</v>
      </c>
      <c r="G34" s="119">
        <f t="shared" ref="G34:G65" si="1">E34/F34</f>
        <v>9.2499999999999999E-2</v>
      </c>
    </row>
    <row r="35" spans="1:9" x14ac:dyDescent="0.2">
      <c r="A35" s="86" t="s">
        <v>105</v>
      </c>
      <c r="B35" t="s">
        <v>59</v>
      </c>
      <c r="C35" t="s">
        <v>62</v>
      </c>
      <c r="E35" s="118">
        <v>1.99</v>
      </c>
      <c r="F35" s="11">
        <v>0.5</v>
      </c>
      <c r="G35" s="119">
        <f t="shared" si="1"/>
        <v>3.98</v>
      </c>
      <c r="H35" t="s">
        <v>8</v>
      </c>
    </row>
    <row r="36" spans="1:9" x14ac:dyDescent="0.2">
      <c r="A36" s="86" t="s">
        <v>11</v>
      </c>
      <c r="B36" t="s">
        <v>365</v>
      </c>
      <c r="C36" t="s">
        <v>63</v>
      </c>
      <c r="E36" s="118">
        <v>1.75</v>
      </c>
      <c r="F36" s="11">
        <v>0.25</v>
      </c>
      <c r="G36" s="119">
        <f t="shared" si="1"/>
        <v>7</v>
      </c>
    </row>
    <row r="37" spans="1:9" x14ac:dyDescent="0.2">
      <c r="A37" s="86" t="s">
        <v>44</v>
      </c>
      <c r="B37" t="s">
        <v>59</v>
      </c>
      <c r="C37" t="s">
        <v>63</v>
      </c>
      <c r="E37" s="118">
        <v>2.5499999999999998</v>
      </c>
      <c r="F37" s="11">
        <v>0.32</v>
      </c>
      <c r="G37" s="119">
        <f t="shared" si="1"/>
        <v>7.9687499999999991</v>
      </c>
      <c r="H37" t="s">
        <v>8</v>
      </c>
      <c r="I37" t="s">
        <v>382</v>
      </c>
    </row>
    <row r="38" spans="1:9" x14ac:dyDescent="0.2">
      <c r="A38" s="86" t="s">
        <v>22</v>
      </c>
      <c r="B38" t="s">
        <v>368</v>
      </c>
      <c r="C38" t="s">
        <v>63</v>
      </c>
      <c r="E38" s="118">
        <v>4</v>
      </c>
      <c r="F38" s="11">
        <v>0.5</v>
      </c>
      <c r="G38" s="119">
        <f t="shared" si="1"/>
        <v>8</v>
      </c>
    </row>
    <row r="39" spans="1:9" x14ac:dyDescent="0.2">
      <c r="A39" s="86" t="s">
        <v>51</v>
      </c>
      <c r="B39" t="s">
        <v>59</v>
      </c>
      <c r="C39" t="s">
        <v>63</v>
      </c>
      <c r="E39" s="118">
        <v>3.69</v>
      </c>
      <c r="F39" s="11">
        <v>1</v>
      </c>
      <c r="G39" s="119">
        <f t="shared" si="1"/>
        <v>3.69</v>
      </c>
    </row>
    <row r="40" spans="1:9" x14ac:dyDescent="0.2">
      <c r="A40" s="86" t="s">
        <v>16</v>
      </c>
      <c r="B40" t="s">
        <v>368</v>
      </c>
      <c r="C40" t="s">
        <v>63</v>
      </c>
      <c r="E40" s="118">
        <v>4.09</v>
      </c>
      <c r="F40" s="11">
        <v>0.5</v>
      </c>
      <c r="G40" s="119">
        <f t="shared" si="1"/>
        <v>8.18</v>
      </c>
    </row>
    <row r="41" spans="1:9" x14ac:dyDescent="0.2">
      <c r="A41" s="86" t="s">
        <v>31</v>
      </c>
      <c r="B41" t="s">
        <v>59</v>
      </c>
      <c r="C41" t="s">
        <v>63</v>
      </c>
      <c r="E41" s="118">
        <v>1.65</v>
      </c>
      <c r="F41" s="11">
        <v>0.2</v>
      </c>
      <c r="G41" s="119">
        <f t="shared" si="1"/>
        <v>8.2499999999999982</v>
      </c>
      <c r="H41" t="s">
        <v>30</v>
      </c>
      <c r="I41" t="s">
        <v>392</v>
      </c>
    </row>
    <row r="42" spans="1:9" x14ac:dyDescent="0.2">
      <c r="A42" s="86" t="s">
        <v>66</v>
      </c>
      <c r="B42" t="s">
        <v>368</v>
      </c>
      <c r="C42" t="s">
        <v>63</v>
      </c>
      <c r="E42" s="118">
        <v>4.45</v>
      </c>
      <c r="F42" s="11">
        <v>0.5</v>
      </c>
      <c r="G42" s="119">
        <f t="shared" si="1"/>
        <v>8.9</v>
      </c>
      <c r="H42" t="s">
        <v>8</v>
      </c>
    </row>
    <row r="43" spans="1:9" x14ac:dyDescent="0.2">
      <c r="A43" s="86" t="s">
        <v>49</v>
      </c>
      <c r="B43" t="s">
        <v>59</v>
      </c>
      <c r="C43" t="s">
        <v>63</v>
      </c>
      <c r="E43" s="118">
        <v>46.17</v>
      </c>
      <c r="F43" s="11">
        <v>5</v>
      </c>
      <c r="G43" s="119">
        <f t="shared" si="1"/>
        <v>9.234</v>
      </c>
      <c r="H43" t="s">
        <v>8</v>
      </c>
      <c r="I43" t="s">
        <v>383</v>
      </c>
    </row>
    <row r="44" spans="1:9" x14ac:dyDescent="0.2">
      <c r="A44" s="86" t="s">
        <v>80</v>
      </c>
      <c r="B44" t="s">
        <v>365</v>
      </c>
      <c r="C44" t="s">
        <v>63</v>
      </c>
      <c r="E44" s="118">
        <v>2.39</v>
      </c>
      <c r="F44" s="11">
        <v>0.25</v>
      </c>
      <c r="G44" s="119">
        <f t="shared" si="1"/>
        <v>9.56</v>
      </c>
    </row>
    <row r="45" spans="1:9" x14ac:dyDescent="0.2">
      <c r="A45" s="86" t="s">
        <v>15</v>
      </c>
      <c r="B45" t="s">
        <v>368</v>
      </c>
      <c r="C45" t="s">
        <v>63</v>
      </c>
      <c r="E45" s="118">
        <v>4.79</v>
      </c>
      <c r="F45" s="11">
        <v>0.5</v>
      </c>
      <c r="G45" s="119">
        <f t="shared" si="1"/>
        <v>9.58</v>
      </c>
      <c r="H45" t="s">
        <v>8</v>
      </c>
    </row>
    <row r="46" spans="1:9" x14ac:dyDescent="0.2">
      <c r="A46" s="86" t="s">
        <v>117</v>
      </c>
      <c r="B46" t="s">
        <v>377</v>
      </c>
      <c r="C46" t="s">
        <v>62</v>
      </c>
      <c r="E46" s="118">
        <v>7.35</v>
      </c>
      <c r="F46" s="11">
        <v>0.7</v>
      </c>
      <c r="G46" s="119">
        <f t="shared" si="1"/>
        <v>10.5</v>
      </c>
    </row>
    <row r="47" spans="1:9" x14ac:dyDescent="0.2">
      <c r="A47" s="86" t="s">
        <v>24</v>
      </c>
      <c r="B47" t="s">
        <v>370</v>
      </c>
      <c r="C47" t="s">
        <v>63</v>
      </c>
      <c r="E47" s="118">
        <v>11.69</v>
      </c>
      <c r="F47" s="11">
        <v>1</v>
      </c>
      <c r="G47" s="119">
        <f t="shared" si="1"/>
        <v>11.69</v>
      </c>
    </row>
    <row r="48" spans="1:9" x14ac:dyDescent="0.2">
      <c r="A48" s="86" t="s">
        <v>52</v>
      </c>
      <c r="B48" t="s">
        <v>368</v>
      </c>
      <c r="C48" t="s">
        <v>63</v>
      </c>
      <c r="E48" s="118">
        <v>3</v>
      </c>
      <c r="F48" s="11">
        <v>0.25</v>
      </c>
      <c r="G48" s="119">
        <f t="shared" si="1"/>
        <v>12</v>
      </c>
    </row>
    <row r="49" spans="1:9" x14ac:dyDescent="0.2">
      <c r="A49" s="86" t="s">
        <v>34</v>
      </c>
      <c r="B49" t="s">
        <v>370</v>
      </c>
      <c r="C49" t="s">
        <v>62</v>
      </c>
      <c r="E49" s="118">
        <v>9.35</v>
      </c>
      <c r="F49" s="11">
        <v>0.75</v>
      </c>
      <c r="G49" s="119">
        <f t="shared" si="1"/>
        <v>12.466666666666667</v>
      </c>
    </row>
    <row r="50" spans="1:9" x14ac:dyDescent="0.2">
      <c r="A50" s="86" t="s">
        <v>57</v>
      </c>
      <c r="B50" t="s">
        <v>370</v>
      </c>
      <c r="C50" t="s">
        <v>62</v>
      </c>
      <c r="E50" s="118">
        <v>9.5500000000000007</v>
      </c>
      <c r="F50" s="11">
        <v>0.75</v>
      </c>
      <c r="G50" s="119">
        <f t="shared" si="1"/>
        <v>12.733333333333334</v>
      </c>
    </row>
    <row r="51" spans="1:9" x14ac:dyDescent="0.2">
      <c r="A51" s="86" t="s">
        <v>70</v>
      </c>
      <c r="B51" t="s">
        <v>59</v>
      </c>
      <c r="C51" t="s">
        <v>63</v>
      </c>
      <c r="E51" s="118">
        <v>11.75</v>
      </c>
      <c r="F51" s="11">
        <v>0.75</v>
      </c>
      <c r="G51" s="119">
        <f t="shared" si="1"/>
        <v>15.666666666666666</v>
      </c>
    </row>
    <row r="52" spans="1:9" x14ac:dyDescent="0.2">
      <c r="A52" s="86" t="s">
        <v>93</v>
      </c>
      <c r="B52" t="s">
        <v>370</v>
      </c>
      <c r="C52" t="s">
        <v>63</v>
      </c>
      <c r="E52" s="118">
        <v>3.93</v>
      </c>
      <c r="F52" s="11">
        <v>0.24</v>
      </c>
      <c r="G52" s="119">
        <f t="shared" si="1"/>
        <v>16.375</v>
      </c>
    </row>
    <row r="53" spans="1:9" x14ac:dyDescent="0.2">
      <c r="A53" s="86" t="s">
        <v>67</v>
      </c>
      <c r="B53" t="s">
        <v>365</v>
      </c>
      <c r="C53" t="s">
        <v>63</v>
      </c>
      <c r="E53" s="118">
        <v>1.51</v>
      </c>
      <c r="F53" s="11">
        <v>0.08</v>
      </c>
      <c r="G53" s="119">
        <f t="shared" si="1"/>
        <v>18.875</v>
      </c>
      <c r="H53" t="s">
        <v>391</v>
      </c>
    </row>
    <row r="54" spans="1:9" x14ac:dyDescent="0.2">
      <c r="A54" s="86" t="s">
        <v>19</v>
      </c>
      <c r="B54" t="s">
        <v>368</v>
      </c>
      <c r="C54" t="s">
        <v>63</v>
      </c>
      <c r="E54" s="118">
        <v>0.99</v>
      </c>
      <c r="F54" s="11">
        <v>0.05</v>
      </c>
      <c r="G54" s="119">
        <f t="shared" si="1"/>
        <v>19.799999999999997</v>
      </c>
    </row>
    <row r="55" spans="1:9" x14ac:dyDescent="0.2">
      <c r="A55" s="86" t="s">
        <v>20</v>
      </c>
      <c r="B55" t="s">
        <v>368</v>
      </c>
      <c r="C55" t="s">
        <v>63</v>
      </c>
      <c r="E55" s="118">
        <v>0.99</v>
      </c>
      <c r="F55" s="11">
        <v>0.05</v>
      </c>
      <c r="G55" s="119">
        <f t="shared" si="1"/>
        <v>19.799999999999997</v>
      </c>
    </row>
    <row r="56" spans="1:9" x14ac:dyDescent="0.2">
      <c r="A56" s="86" t="s">
        <v>166</v>
      </c>
      <c r="B56" t="s">
        <v>59</v>
      </c>
      <c r="C56" t="s">
        <v>62</v>
      </c>
      <c r="E56" s="118">
        <v>15.55</v>
      </c>
      <c r="F56" s="11">
        <v>0.7</v>
      </c>
      <c r="G56" s="119">
        <f t="shared" si="1"/>
        <v>22.214285714285715</v>
      </c>
    </row>
    <row r="57" spans="1:9" x14ac:dyDescent="0.2">
      <c r="A57" s="86" t="s">
        <v>53</v>
      </c>
      <c r="B57" t="s">
        <v>59</v>
      </c>
      <c r="C57" t="s">
        <v>62</v>
      </c>
      <c r="E57" s="118">
        <v>5.69</v>
      </c>
      <c r="F57" s="11">
        <v>0.25</v>
      </c>
      <c r="G57" s="119">
        <f t="shared" si="1"/>
        <v>22.76</v>
      </c>
    </row>
    <row r="58" spans="1:9" x14ac:dyDescent="0.2">
      <c r="A58" s="86" t="s">
        <v>23</v>
      </c>
      <c r="B58" t="s">
        <v>59</v>
      </c>
      <c r="C58" t="s">
        <v>63</v>
      </c>
      <c r="E58" s="118">
        <v>2.9</v>
      </c>
      <c r="F58" s="11">
        <v>0.125</v>
      </c>
      <c r="G58" s="119">
        <f t="shared" si="1"/>
        <v>23.2</v>
      </c>
      <c r="H58" t="s">
        <v>383</v>
      </c>
    </row>
    <row r="59" spans="1:9" x14ac:dyDescent="0.2">
      <c r="A59" s="86" t="s">
        <v>50</v>
      </c>
      <c r="B59" t="s">
        <v>59</v>
      </c>
      <c r="C59" t="s">
        <v>63</v>
      </c>
      <c r="E59" s="118">
        <v>23.32</v>
      </c>
      <c r="F59" s="11">
        <v>1</v>
      </c>
      <c r="G59" s="119">
        <f t="shared" si="1"/>
        <v>23.32</v>
      </c>
      <c r="H59" t="s">
        <v>8</v>
      </c>
      <c r="I59" t="s">
        <v>382</v>
      </c>
    </row>
    <row r="60" spans="1:9" x14ac:dyDescent="0.2">
      <c r="A60" s="86" t="s">
        <v>45</v>
      </c>
      <c r="B60" t="s">
        <v>59</v>
      </c>
      <c r="C60" t="s">
        <v>63</v>
      </c>
      <c r="E60" s="118">
        <v>5.15</v>
      </c>
      <c r="F60" s="11">
        <v>0.17499999999999999</v>
      </c>
      <c r="G60" s="119">
        <f t="shared" si="1"/>
        <v>29.428571428571434</v>
      </c>
      <c r="H60" t="s">
        <v>383</v>
      </c>
    </row>
    <row r="61" spans="1:9" x14ac:dyDescent="0.2">
      <c r="A61" s="86" t="s">
        <v>68</v>
      </c>
      <c r="B61" t="s">
        <v>59</v>
      </c>
      <c r="C61" t="s">
        <v>62</v>
      </c>
      <c r="E61" s="118">
        <v>23.39</v>
      </c>
      <c r="F61" s="11">
        <v>0.7</v>
      </c>
      <c r="G61" s="119">
        <f t="shared" si="1"/>
        <v>33.414285714285718</v>
      </c>
    </row>
    <row r="62" spans="1:9" x14ac:dyDescent="0.2">
      <c r="A62" s="86" t="s">
        <v>69</v>
      </c>
      <c r="B62" t="s">
        <v>377</v>
      </c>
      <c r="C62" t="s">
        <v>62</v>
      </c>
      <c r="E62" s="118">
        <v>20.95</v>
      </c>
      <c r="F62" s="11">
        <v>0.5</v>
      </c>
      <c r="G62" s="119">
        <f t="shared" si="1"/>
        <v>41.9</v>
      </c>
    </row>
    <row r="63" spans="1:9" x14ac:dyDescent="0.2">
      <c r="A63" s="86" t="s">
        <v>27</v>
      </c>
      <c r="B63" t="s">
        <v>369</v>
      </c>
      <c r="C63" t="s">
        <v>63</v>
      </c>
      <c r="E63" s="118">
        <v>14.55</v>
      </c>
      <c r="F63" s="11">
        <v>0.3</v>
      </c>
      <c r="G63" s="119">
        <f t="shared" si="1"/>
        <v>48.500000000000007</v>
      </c>
      <c r="H63" t="s">
        <v>389</v>
      </c>
    </row>
    <row r="64" spans="1:9" x14ac:dyDescent="0.2">
      <c r="A64" s="86" t="s">
        <v>18</v>
      </c>
      <c r="B64" t="s">
        <v>368</v>
      </c>
      <c r="C64" t="s">
        <v>63</v>
      </c>
      <c r="E64" s="118">
        <v>5</v>
      </c>
      <c r="F64" s="11">
        <v>0.1</v>
      </c>
      <c r="G64" s="119">
        <f t="shared" si="1"/>
        <v>50</v>
      </c>
    </row>
    <row r="65" spans="1:108" x14ac:dyDescent="0.2">
      <c r="A65" s="86" t="s">
        <v>46</v>
      </c>
      <c r="B65" t="s">
        <v>59</v>
      </c>
      <c r="C65" t="s">
        <v>81</v>
      </c>
      <c r="E65" s="118">
        <v>5.2</v>
      </c>
      <c r="F65" s="11">
        <v>0.1</v>
      </c>
      <c r="G65" s="119">
        <f t="shared" si="1"/>
        <v>52</v>
      </c>
    </row>
    <row r="66" spans="1:108" x14ac:dyDescent="0.2">
      <c r="A66" s="86" t="s">
        <v>17</v>
      </c>
      <c r="B66" t="s">
        <v>59</v>
      </c>
      <c r="C66" t="s">
        <v>63</v>
      </c>
      <c r="E66" s="118">
        <v>2.4900000000000002</v>
      </c>
      <c r="F66" s="11">
        <v>4.4999999999999998E-2</v>
      </c>
      <c r="G66" s="119">
        <f t="shared" ref="G66:G72" si="2">E66/F66</f>
        <v>55.333333333333343</v>
      </c>
    </row>
    <row r="67" spans="1:108" x14ac:dyDescent="0.2">
      <c r="A67" s="86" t="s">
        <v>25</v>
      </c>
      <c r="B67" t="s">
        <v>368</v>
      </c>
      <c r="C67" t="s">
        <v>63</v>
      </c>
      <c r="E67" s="118">
        <v>2.65</v>
      </c>
      <c r="F67" s="11">
        <v>0.04</v>
      </c>
      <c r="G67" s="119">
        <f t="shared" si="2"/>
        <v>66.25</v>
      </c>
    </row>
    <row r="68" spans="1:108" x14ac:dyDescent="0.2">
      <c r="A68" s="86" t="s">
        <v>21</v>
      </c>
      <c r="B68" t="s">
        <v>59</v>
      </c>
      <c r="C68" t="s">
        <v>63</v>
      </c>
      <c r="E68" s="118">
        <v>2.65</v>
      </c>
      <c r="F68" s="11">
        <v>0.04</v>
      </c>
      <c r="G68" s="119">
        <f t="shared" si="2"/>
        <v>66.25</v>
      </c>
      <c r="H68" t="s">
        <v>386</v>
      </c>
    </row>
    <row r="69" spans="1:108" x14ac:dyDescent="0.2">
      <c r="A69" s="86" t="s">
        <v>26</v>
      </c>
      <c r="B69" t="s">
        <v>369</v>
      </c>
      <c r="C69" t="s">
        <v>63</v>
      </c>
      <c r="E69" s="118">
        <v>16</v>
      </c>
      <c r="F69" s="11">
        <v>0.2</v>
      </c>
      <c r="G69" s="119">
        <f t="shared" si="2"/>
        <v>80</v>
      </c>
      <c r="H69" t="s">
        <v>389</v>
      </c>
    </row>
    <row r="70" spans="1:108" x14ac:dyDescent="0.2">
      <c r="A70" s="86" t="s">
        <v>47</v>
      </c>
      <c r="B70" t="s">
        <v>59</v>
      </c>
      <c r="C70" t="s">
        <v>62</v>
      </c>
      <c r="E70" s="118">
        <v>4.6500000000000004</v>
      </c>
      <c r="F70" s="11">
        <v>0.05</v>
      </c>
      <c r="G70" s="119">
        <f t="shared" si="2"/>
        <v>93</v>
      </c>
    </row>
    <row r="71" spans="1:108" x14ac:dyDescent="0.2">
      <c r="A71" s="86" t="s">
        <v>28</v>
      </c>
      <c r="B71" t="s">
        <v>59</v>
      </c>
      <c r="C71" t="s">
        <v>63</v>
      </c>
      <c r="E71" s="118">
        <v>3.89</v>
      </c>
      <c r="F71" s="11">
        <v>3.4000000000000002E-2</v>
      </c>
      <c r="G71" s="119">
        <f t="shared" si="2"/>
        <v>114.41176470588235</v>
      </c>
    </row>
    <row r="72" spans="1:108" x14ac:dyDescent="0.2">
      <c r="A72" s="86" t="s">
        <v>48</v>
      </c>
      <c r="B72" t="s">
        <v>59</v>
      </c>
      <c r="C72" t="s">
        <v>63</v>
      </c>
      <c r="E72" s="118">
        <v>6.55</v>
      </c>
      <c r="F72" s="11">
        <v>0.05</v>
      </c>
      <c r="G72" s="119">
        <f t="shared" si="2"/>
        <v>131</v>
      </c>
    </row>
    <row r="73" spans="1:108" x14ac:dyDescent="0.2">
      <c r="A73" s="120"/>
      <c r="B73" s="120"/>
      <c r="C73" s="120"/>
      <c r="E73" s="121"/>
      <c r="F73" s="122"/>
      <c r="G73" s="123"/>
      <c r="H73" s="120"/>
      <c r="I73" s="120"/>
      <c r="J73" s="120"/>
      <c r="K73" s="120"/>
      <c r="L73" s="120"/>
      <c r="M73" s="120"/>
      <c r="N73" s="120"/>
      <c r="O73" s="120"/>
      <c r="P73" s="120"/>
      <c r="Q73" s="120"/>
      <c r="R73" s="120"/>
      <c r="S73" s="120"/>
      <c r="T73" s="120"/>
      <c r="U73" s="120"/>
      <c r="V73" s="120"/>
      <c r="W73" s="120"/>
      <c r="X73" s="120"/>
      <c r="Y73" s="120"/>
      <c r="Z73" s="120"/>
    </row>
    <row r="74" spans="1:108" s="124" customFormat="1" x14ac:dyDescent="0.2">
      <c r="A74" s="86" t="s">
        <v>354</v>
      </c>
      <c r="B74" t="s">
        <v>90</v>
      </c>
      <c r="C74" t="s">
        <v>81</v>
      </c>
      <c r="D74" s="132"/>
      <c r="E74" s="118"/>
      <c r="F74" s="11"/>
      <c r="G74" s="119">
        <f>Recettes!C12</f>
        <v>0.18046666666666666</v>
      </c>
      <c r="H74" t="s">
        <v>381</v>
      </c>
      <c r="I74" t="s">
        <v>392</v>
      </c>
      <c r="J74" t="s">
        <v>8</v>
      </c>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row>
    <row r="75" spans="1:108" s="124" customFormat="1" x14ac:dyDescent="0.2">
      <c r="A75" s="86" t="s">
        <v>355</v>
      </c>
      <c r="B75" t="s">
        <v>90</v>
      </c>
      <c r="C75" t="s">
        <v>81</v>
      </c>
      <c r="D75" s="132"/>
      <c r="E75" s="118"/>
      <c r="F75" s="11"/>
      <c r="G75" s="119">
        <f>Recettes!C24</f>
        <v>0.19722499999999998</v>
      </c>
      <c r="H75" t="s">
        <v>381</v>
      </c>
      <c r="I75" t="s">
        <v>392</v>
      </c>
      <c r="J75" t="s">
        <v>8</v>
      </c>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row>
    <row r="76" spans="1:108" s="124" customFormat="1" x14ac:dyDescent="0.2">
      <c r="A76" s="86" t="s">
        <v>96</v>
      </c>
      <c r="B76" t="s">
        <v>90</v>
      </c>
      <c r="C76" t="s">
        <v>81</v>
      </c>
      <c r="D76" s="132"/>
      <c r="E76" s="118"/>
      <c r="F76" s="11"/>
      <c r="G76" s="119">
        <f>Recettes!C87</f>
        <v>0.36110588235294117</v>
      </c>
      <c r="H76" t="s">
        <v>8</v>
      </c>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row>
    <row r="77" spans="1:108" s="124" customFormat="1" x14ac:dyDescent="0.2">
      <c r="A77" s="86" t="s">
        <v>98</v>
      </c>
      <c r="B77" t="s">
        <v>90</v>
      </c>
      <c r="C77" t="s">
        <v>81</v>
      </c>
      <c r="D77" s="132"/>
      <c r="E77" s="118"/>
      <c r="F77" s="11"/>
      <c r="G77" s="119">
        <f>Recettes!C65</f>
        <v>0.39150392156862746</v>
      </c>
      <c r="H77" t="s">
        <v>8</v>
      </c>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row>
    <row r="78" spans="1:108" s="124" customFormat="1" x14ac:dyDescent="0.2">
      <c r="A78" s="86" t="s">
        <v>100</v>
      </c>
      <c r="B78" t="s">
        <v>90</v>
      </c>
      <c r="C78" t="s">
        <v>81</v>
      </c>
      <c r="D78" s="132"/>
      <c r="E78" s="118"/>
      <c r="F78" s="11"/>
      <c r="G78" s="119">
        <f>Recettes!C112</f>
        <v>0.25747201426024963</v>
      </c>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row>
    <row r="79" spans="1:108" s="124" customFormat="1" x14ac:dyDescent="0.2">
      <c r="A79" s="86" t="s">
        <v>104</v>
      </c>
      <c r="B79" t="s">
        <v>90</v>
      </c>
      <c r="C79" t="s">
        <v>81</v>
      </c>
      <c r="D79" s="132"/>
      <c r="E79" s="118"/>
      <c r="F79" s="11"/>
      <c r="G79" s="119">
        <f>Recettes!C120</f>
        <v>0.25118992248062016</v>
      </c>
      <c r="H79" t="s">
        <v>30</v>
      </c>
      <c r="I79" t="s">
        <v>8</v>
      </c>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row>
    <row r="80" spans="1:108" s="124" customFormat="1" x14ac:dyDescent="0.2">
      <c r="A80" s="86" t="s">
        <v>109</v>
      </c>
      <c r="B80" t="s">
        <v>90</v>
      </c>
      <c r="C80" t="s">
        <v>81</v>
      </c>
      <c r="D80" s="132"/>
      <c r="E80" s="118"/>
      <c r="F80" s="11"/>
      <c r="G80" s="119">
        <f>Recettes!C154</f>
        <v>0.52223552941176477</v>
      </c>
      <c r="H80" t="s">
        <v>8</v>
      </c>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row>
    <row r="81" spans="1:108" s="124" customFormat="1" x14ac:dyDescent="0.2">
      <c r="A81" s="86" t="s">
        <v>110</v>
      </c>
      <c r="B81" t="s">
        <v>90</v>
      </c>
      <c r="C81" t="s">
        <v>81</v>
      </c>
      <c r="D81" s="132"/>
      <c r="E81" s="118"/>
      <c r="F81" s="11"/>
      <c r="G81" s="119">
        <f>Recettes!C163</f>
        <v>9.1840000000000005E-2</v>
      </c>
      <c r="H81" t="s">
        <v>381</v>
      </c>
      <c r="I81" t="s">
        <v>8</v>
      </c>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row>
    <row r="82" spans="1:108" s="124" customFormat="1" x14ac:dyDescent="0.2">
      <c r="A82" s="86" t="s">
        <v>162</v>
      </c>
      <c r="B82" t="s">
        <v>90</v>
      </c>
      <c r="C82" t="s">
        <v>81</v>
      </c>
      <c r="D82" s="132"/>
      <c r="E82" s="118"/>
      <c r="F82" s="11"/>
      <c r="G82" s="119">
        <f>Recettes!C266</f>
        <v>6.2586666666666665E-2</v>
      </c>
      <c r="H82" t="s">
        <v>8</v>
      </c>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row>
    <row r="83" spans="1:108" s="124" customFormat="1" x14ac:dyDescent="0.2">
      <c r="A83" s="86" t="s">
        <v>163</v>
      </c>
      <c r="B83" t="s">
        <v>90</v>
      </c>
      <c r="C83" t="s">
        <v>81</v>
      </c>
      <c r="D83" s="132"/>
      <c r="E83" s="118"/>
      <c r="F83" s="11"/>
      <c r="G83" s="119">
        <f>Recettes!C283</f>
        <v>0.19993333333333332</v>
      </c>
      <c r="H83" t="s">
        <v>8</v>
      </c>
      <c r="I83" t="s">
        <v>382</v>
      </c>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row>
    <row r="84" spans="1:108" s="124" customFormat="1" x14ac:dyDescent="0.2">
      <c r="A84" s="86" t="s">
        <v>164</v>
      </c>
      <c r="B84" t="s">
        <v>90</v>
      </c>
      <c r="C84" t="s">
        <v>81</v>
      </c>
      <c r="D84" s="132"/>
      <c r="E84" s="118"/>
      <c r="F84" s="11"/>
      <c r="G84" s="119">
        <f>Recettes!C302</f>
        <v>0.1835</v>
      </c>
      <c r="H84" t="s">
        <v>8</v>
      </c>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row>
    <row r="85" spans="1:108" s="124" customFormat="1" x14ac:dyDescent="0.2">
      <c r="A85" s="86" t="s">
        <v>165</v>
      </c>
      <c r="B85" t="s">
        <v>90</v>
      </c>
      <c r="C85" t="s">
        <v>81</v>
      </c>
      <c r="D85" s="132"/>
      <c r="E85" s="118"/>
      <c r="F85" s="11"/>
      <c r="G85" s="119">
        <f>Recettes!C325</f>
        <v>0.38508190476190479</v>
      </c>
      <c r="H85" t="s">
        <v>8</v>
      </c>
      <c r="I85" t="s">
        <v>381</v>
      </c>
      <c r="J85" t="s">
        <v>383</v>
      </c>
      <c r="K85" t="s">
        <v>392</v>
      </c>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row>
    <row r="86" spans="1:108" s="124" customFormat="1" x14ac:dyDescent="0.2">
      <c r="A86" s="86" t="s">
        <v>167</v>
      </c>
      <c r="B86" t="s">
        <v>90</v>
      </c>
      <c r="C86" t="s">
        <v>81</v>
      </c>
      <c r="D86" s="132"/>
      <c r="E86" s="118"/>
      <c r="F86" s="11"/>
      <c r="G86" s="119">
        <f>Recettes!C354</f>
        <v>0.15349200000000002</v>
      </c>
      <c r="H86" t="s">
        <v>8</v>
      </c>
      <c r="I86" t="s">
        <v>383</v>
      </c>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row>
    <row r="87" spans="1:108" s="124" customFormat="1" x14ac:dyDescent="0.2">
      <c r="A87" s="86" t="s">
        <v>168</v>
      </c>
      <c r="B87" t="s">
        <v>90</v>
      </c>
      <c r="C87" t="s">
        <v>81</v>
      </c>
      <c r="D87" s="132"/>
      <c r="E87" s="118"/>
      <c r="F87" s="11"/>
      <c r="G87" s="119">
        <f>Recettes!C383</f>
        <v>0.33661000000000002</v>
      </c>
      <c r="H87" t="s">
        <v>8</v>
      </c>
      <c r="I87" t="s">
        <v>382</v>
      </c>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row>
    <row r="88" spans="1:108" s="124" customFormat="1" x14ac:dyDescent="0.2">
      <c r="A88" s="86" t="s">
        <v>169</v>
      </c>
      <c r="B88" t="s">
        <v>90</v>
      </c>
      <c r="C88" t="s">
        <v>81</v>
      </c>
      <c r="D88" s="132"/>
      <c r="E88" s="118"/>
      <c r="F88" s="11"/>
      <c r="G88" s="119">
        <f>Recettes!C401</f>
        <v>0.16216</v>
      </c>
      <c r="H88" t="s">
        <v>8</v>
      </c>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row>
    <row r="89" spans="1:108" s="124" customFormat="1" x14ac:dyDescent="0.2">
      <c r="A89" s="86"/>
      <c r="B89"/>
      <c r="C89"/>
      <c r="D89" s="132"/>
      <c r="E89" s="118"/>
      <c r="F89" s="11"/>
      <c r="G89" s="11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row>
    <row r="90" spans="1:108" s="124" customFormat="1" x14ac:dyDescent="0.2">
      <c r="A90" s="86"/>
      <c r="B90"/>
      <c r="C90"/>
      <c r="D90" s="132"/>
      <c r="E90" s="118"/>
      <c r="F90" s="11"/>
      <c r="G90" s="119"/>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row>
    <row r="91" spans="1:108" s="124" customFormat="1" x14ac:dyDescent="0.2">
      <c r="A91" s="86"/>
      <c r="B91"/>
      <c r="C91"/>
      <c r="D91" s="132"/>
      <c r="E91" s="118"/>
      <c r="F91" s="11"/>
      <c r="G91" s="119"/>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row>
    <row r="92" spans="1:108" s="124" customFormat="1" x14ac:dyDescent="0.2">
      <c r="A92" s="86"/>
      <c r="B92"/>
      <c r="C92"/>
      <c r="D92" s="132"/>
      <c r="E92" s="118"/>
      <c r="F92" s="11"/>
      <c r="G92" s="119"/>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row>
    <row r="93" spans="1:108" s="124" customFormat="1" x14ac:dyDescent="0.2">
      <c r="A93" s="86"/>
      <c r="B93"/>
      <c r="C93"/>
      <c r="D93" s="132"/>
      <c r="E93" s="118"/>
      <c r="F93" s="11"/>
      <c r="G93" s="119"/>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row>
    <row r="94" spans="1:108" s="124" customFormat="1" x14ac:dyDescent="0.2">
      <c r="A94" s="86"/>
      <c r="B94"/>
      <c r="C94"/>
      <c r="D94" s="132"/>
      <c r="E94" s="118"/>
      <c r="F94" s="11"/>
      <c r="G94" s="119"/>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row>
    <row r="95" spans="1:108" s="124" customFormat="1" x14ac:dyDescent="0.2">
      <c r="A95" s="86"/>
      <c r="B95"/>
      <c r="C95"/>
      <c r="D95" s="132"/>
      <c r="E95" s="118"/>
      <c r="F95" s="11"/>
      <c r="G95" s="119"/>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row>
    <row r="96" spans="1:108" s="124" customFormat="1" x14ac:dyDescent="0.2">
      <c r="A96" s="86"/>
      <c r="B96"/>
      <c r="C96"/>
      <c r="D96" s="132"/>
      <c r="E96" s="118"/>
      <c r="F96" s="11"/>
      <c r="G96" s="119"/>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row>
    <row r="97" spans="1:108" s="124" customFormat="1" x14ac:dyDescent="0.2">
      <c r="A97" s="86"/>
      <c r="B97"/>
      <c r="C97"/>
      <c r="D97" s="132"/>
      <c r="E97" s="118"/>
      <c r="F97" s="11"/>
      <c r="G97" s="119"/>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row>
    <row r="98" spans="1:108" s="124" customFormat="1" x14ac:dyDescent="0.2">
      <c r="A98" s="86"/>
      <c r="B98"/>
      <c r="C98"/>
      <c r="D98" s="132"/>
      <c r="E98" s="118"/>
      <c r="F98" s="11"/>
      <c r="G98" s="119"/>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row>
  </sheetData>
  <autoFilter ref="A1:DD72" xr:uid="{2FA91CE7-A6EC-F643-BAD0-8F69D45AAEB6}"/>
  <sortState xmlns:xlrd2="http://schemas.microsoft.com/office/spreadsheetml/2017/richdata2" ref="A2:H72">
    <sortCondition ref="G2:G72"/>
  </sortState>
  <dataValidations count="4">
    <dataValidation type="list" allowBlank="1" showInputMessage="1" showErrorMessage="1" sqref="A2:A1048576" xr:uid="{8ECAB697-6D67-1340-827D-AE0D537D4BBD}">
      <formula1>TProduits</formula1>
    </dataValidation>
    <dataValidation type="list" allowBlank="1" showInputMessage="1" showErrorMessage="1" sqref="B2:B1048576" xr:uid="{1B35C0C7-BC7B-3644-B55E-4F01515A9256}">
      <formula1>TFournisseurs</formula1>
    </dataValidation>
    <dataValidation type="list" allowBlank="1" showInputMessage="1" showErrorMessage="1" sqref="C1:D1048576" xr:uid="{E91A0B96-66F6-7445-B78B-60E0E116C50B}">
      <formula1>TUnités</formula1>
    </dataValidation>
    <dataValidation type="list" allowBlank="1" showInputMessage="1" showErrorMessage="1" sqref="H1:Z1048576" xr:uid="{23A805C5-2B51-FF4B-BA27-DCA054E88591}">
      <formula1>TAllergenes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50" r:id="rId3" name="Button 34">
              <controlPr defaultSize="0" print="0" autoFill="0" autoPict="0" macro="[0]!P_RecalculDesAllergenesDesPreparations">
                <anchor moveWithCells="1" sizeWithCells="1">
                  <from>
                    <xdr:col>26</xdr:col>
                    <xdr:colOff>63500</xdr:colOff>
                    <xdr:row>0</xdr:row>
                    <xdr:rowOff>0</xdr:rowOff>
                  </from>
                  <to>
                    <xdr:col>29</xdr:col>
                    <xdr:colOff>12700</xdr:colOff>
                    <xdr:row>1</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D096C-12A5-704F-A849-6C11DBB44583}">
  <sheetPr codeName="Feuil13"/>
  <dimension ref="A1:I34"/>
  <sheetViews>
    <sheetView workbookViewId="0"/>
  </sheetViews>
  <sheetFormatPr baseColWidth="10" defaultRowHeight="16" x14ac:dyDescent="0.2"/>
  <cols>
    <col min="1" max="1" width="21.1640625" customWidth="1"/>
    <col min="2" max="2" width="25.6640625" bestFit="1" customWidth="1"/>
    <col min="3" max="3" width="20.1640625" bestFit="1" customWidth="1"/>
    <col min="4" max="4" width="18.6640625" bestFit="1" customWidth="1"/>
    <col min="5" max="5" width="16.6640625" bestFit="1" customWidth="1"/>
    <col min="6" max="6" width="47.33203125" bestFit="1" customWidth="1"/>
    <col min="7" max="7" width="19" bestFit="1" customWidth="1"/>
    <col min="8" max="8" width="23" bestFit="1" customWidth="1"/>
    <col min="9" max="9" width="37" bestFit="1" customWidth="1"/>
    <col min="10" max="10" width="18.33203125" bestFit="1" customWidth="1"/>
    <col min="11" max="11" width="11.83203125" bestFit="1" customWidth="1"/>
    <col min="12" max="12" width="12.83203125" bestFit="1" customWidth="1"/>
    <col min="13" max="13" width="20.6640625" bestFit="1" customWidth="1"/>
    <col min="14" max="14" width="13" bestFit="1" customWidth="1"/>
    <col min="15" max="15" width="47.33203125" bestFit="1" customWidth="1"/>
    <col min="16" max="16" width="37" bestFit="1" customWidth="1"/>
  </cols>
  <sheetData>
    <row r="1" spans="1:9" ht="66" customHeight="1" x14ac:dyDescent="0.2">
      <c r="A1">
        <v>1</v>
      </c>
      <c r="B1" s="128" t="s">
        <v>59</v>
      </c>
      <c r="C1" s="128" t="s">
        <v>377</v>
      </c>
      <c r="D1" s="128" t="s">
        <v>365</v>
      </c>
      <c r="E1" s="128" t="s">
        <v>367</v>
      </c>
      <c r="F1" s="128" t="s">
        <v>369</v>
      </c>
      <c r="G1" s="128" t="s">
        <v>368</v>
      </c>
      <c r="H1" s="128" t="s">
        <v>370</v>
      </c>
      <c r="I1" s="128" t="s">
        <v>90</v>
      </c>
    </row>
    <row r="2" spans="1:9" x14ac:dyDescent="0.2">
      <c r="B2" s="130" t="s">
        <v>76</v>
      </c>
      <c r="C2" s="130" t="s">
        <v>55</v>
      </c>
      <c r="D2" s="130" t="s">
        <v>10</v>
      </c>
      <c r="E2" s="130" t="s">
        <v>13</v>
      </c>
      <c r="F2" s="130" t="s">
        <v>27</v>
      </c>
      <c r="G2" s="130" t="s">
        <v>106</v>
      </c>
      <c r="H2" s="130" t="s">
        <v>36</v>
      </c>
      <c r="I2" s="129" t="s">
        <v>354</v>
      </c>
    </row>
    <row r="3" spans="1:9" x14ac:dyDescent="0.2">
      <c r="B3" s="130" t="s">
        <v>75</v>
      </c>
      <c r="C3" s="130" t="s">
        <v>119</v>
      </c>
      <c r="D3" s="130" t="s">
        <v>29</v>
      </c>
      <c r="E3" s="130" t="s">
        <v>12</v>
      </c>
      <c r="F3" s="130" t="s">
        <v>26</v>
      </c>
      <c r="G3" s="130" t="s">
        <v>22</v>
      </c>
      <c r="H3" s="130" t="s">
        <v>37</v>
      </c>
      <c r="I3" s="129" t="s">
        <v>355</v>
      </c>
    </row>
    <row r="4" spans="1:9" x14ac:dyDescent="0.2">
      <c r="B4" s="130" t="s">
        <v>73</v>
      </c>
      <c r="C4" s="130" t="s">
        <v>127</v>
      </c>
      <c r="D4" s="129" t="s">
        <v>11</v>
      </c>
      <c r="G4" s="130" t="s">
        <v>16</v>
      </c>
      <c r="H4" s="130" t="s">
        <v>38</v>
      </c>
      <c r="I4" s="129" t="s">
        <v>96</v>
      </c>
    </row>
    <row r="5" spans="1:9" x14ac:dyDescent="0.2">
      <c r="B5" s="130" t="s">
        <v>74</v>
      </c>
      <c r="C5" s="130" t="s">
        <v>39</v>
      </c>
      <c r="D5" s="129" t="s">
        <v>80</v>
      </c>
      <c r="G5" s="130" t="s">
        <v>66</v>
      </c>
      <c r="H5" s="130" t="s">
        <v>35</v>
      </c>
      <c r="I5" s="129" t="s">
        <v>98</v>
      </c>
    </row>
    <row r="6" spans="1:9" x14ac:dyDescent="0.2">
      <c r="B6" s="130" t="s">
        <v>9</v>
      </c>
      <c r="C6" s="130" t="s">
        <v>58</v>
      </c>
      <c r="D6" s="129" t="s">
        <v>67</v>
      </c>
      <c r="G6" s="130" t="s">
        <v>15</v>
      </c>
      <c r="H6" s="130" t="s">
        <v>24</v>
      </c>
      <c r="I6" s="129" t="s">
        <v>100</v>
      </c>
    </row>
    <row r="7" spans="1:9" x14ac:dyDescent="0.2">
      <c r="B7" s="130" t="s">
        <v>43</v>
      </c>
      <c r="C7" s="129" t="s">
        <v>40</v>
      </c>
      <c r="G7" s="130" t="s">
        <v>52</v>
      </c>
      <c r="H7" s="130" t="s">
        <v>34</v>
      </c>
      <c r="I7" s="129" t="s">
        <v>104</v>
      </c>
    </row>
    <row r="8" spans="1:9" x14ac:dyDescent="0.2">
      <c r="B8" s="130" t="s">
        <v>111</v>
      </c>
      <c r="C8" s="129" t="s">
        <v>54</v>
      </c>
      <c r="G8" s="130" t="s">
        <v>19</v>
      </c>
      <c r="H8" s="130" t="s">
        <v>57</v>
      </c>
      <c r="I8" s="129" t="s">
        <v>109</v>
      </c>
    </row>
    <row r="9" spans="1:9" x14ac:dyDescent="0.2">
      <c r="B9" s="130" t="s">
        <v>33</v>
      </c>
      <c r="C9" s="129" t="s">
        <v>41</v>
      </c>
      <c r="G9" s="130" t="s">
        <v>20</v>
      </c>
      <c r="H9" s="130" t="s">
        <v>93</v>
      </c>
      <c r="I9" s="129" t="s">
        <v>110</v>
      </c>
    </row>
    <row r="10" spans="1:9" x14ac:dyDescent="0.2">
      <c r="B10" s="130" t="s">
        <v>8</v>
      </c>
      <c r="C10" s="129" t="s">
        <v>42</v>
      </c>
      <c r="G10" s="129" t="s">
        <v>18</v>
      </c>
      <c r="I10" s="129" t="s">
        <v>162</v>
      </c>
    </row>
    <row r="11" spans="1:9" x14ac:dyDescent="0.2">
      <c r="B11" s="130" t="s">
        <v>65</v>
      </c>
      <c r="C11" s="129" t="s">
        <v>117</v>
      </c>
      <c r="G11" s="129" t="s">
        <v>25</v>
      </c>
      <c r="I11" s="129" t="s">
        <v>163</v>
      </c>
    </row>
    <row r="12" spans="1:9" x14ac:dyDescent="0.2">
      <c r="B12" s="130" t="s">
        <v>101</v>
      </c>
      <c r="C12" s="129" t="s">
        <v>69</v>
      </c>
      <c r="I12" s="129" t="s">
        <v>164</v>
      </c>
    </row>
    <row r="13" spans="1:9" x14ac:dyDescent="0.2">
      <c r="B13" s="129" t="s">
        <v>102</v>
      </c>
      <c r="I13" s="129" t="s">
        <v>165</v>
      </c>
    </row>
    <row r="14" spans="1:9" x14ac:dyDescent="0.2">
      <c r="B14" s="129" t="s">
        <v>97</v>
      </c>
      <c r="I14" s="129" t="s">
        <v>167</v>
      </c>
    </row>
    <row r="15" spans="1:9" x14ac:dyDescent="0.2">
      <c r="B15" s="129" t="s">
        <v>30</v>
      </c>
      <c r="I15" s="129" t="s">
        <v>168</v>
      </c>
    </row>
    <row r="16" spans="1:9" x14ac:dyDescent="0.2">
      <c r="B16" s="129" t="s">
        <v>77</v>
      </c>
      <c r="I16" s="129" t="s">
        <v>169</v>
      </c>
    </row>
    <row r="17" spans="2:2" x14ac:dyDescent="0.2">
      <c r="B17" s="129" t="s">
        <v>105</v>
      </c>
    </row>
    <row r="18" spans="2:2" x14ac:dyDescent="0.2">
      <c r="B18" s="129" t="s">
        <v>44</v>
      </c>
    </row>
    <row r="19" spans="2:2" x14ac:dyDescent="0.2">
      <c r="B19" s="129" t="s">
        <v>51</v>
      </c>
    </row>
    <row r="20" spans="2:2" x14ac:dyDescent="0.2">
      <c r="B20" s="129" t="s">
        <v>31</v>
      </c>
    </row>
    <row r="21" spans="2:2" x14ac:dyDescent="0.2">
      <c r="B21" s="129" t="s">
        <v>49</v>
      </c>
    </row>
    <row r="22" spans="2:2" x14ac:dyDescent="0.2">
      <c r="B22" s="129" t="s">
        <v>70</v>
      </c>
    </row>
    <row r="23" spans="2:2" x14ac:dyDescent="0.2">
      <c r="B23" s="129" t="s">
        <v>166</v>
      </c>
    </row>
    <row r="24" spans="2:2" x14ac:dyDescent="0.2">
      <c r="B24" s="129" t="s">
        <v>53</v>
      </c>
    </row>
    <row r="25" spans="2:2" x14ac:dyDescent="0.2">
      <c r="B25" s="129" t="s">
        <v>23</v>
      </c>
    </row>
    <row r="26" spans="2:2" x14ac:dyDescent="0.2">
      <c r="B26" s="129" t="s">
        <v>50</v>
      </c>
    </row>
    <row r="27" spans="2:2" x14ac:dyDescent="0.2">
      <c r="B27" s="129" t="s">
        <v>45</v>
      </c>
    </row>
    <row r="28" spans="2:2" x14ac:dyDescent="0.2">
      <c r="B28" s="129" t="s">
        <v>68</v>
      </c>
    </row>
    <row r="29" spans="2:2" x14ac:dyDescent="0.2">
      <c r="B29" s="129" t="s">
        <v>46</v>
      </c>
    </row>
    <row r="30" spans="2:2" x14ac:dyDescent="0.2">
      <c r="B30" s="129" t="s">
        <v>17</v>
      </c>
    </row>
    <row r="31" spans="2:2" x14ac:dyDescent="0.2">
      <c r="B31" s="129" t="s">
        <v>21</v>
      </c>
    </row>
    <row r="32" spans="2:2" x14ac:dyDescent="0.2">
      <c r="B32" s="129" t="s">
        <v>47</v>
      </c>
    </row>
    <row r="33" spans="2:2" x14ac:dyDescent="0.2">
      <c r="B33" s="129" t="s">
        <v>28</v>
      </c>
    </row>
    <row r="34" spans="2:2" x14ac:dyDescent="0.2">
      <c r="B34" s="129" t="s">
        <v>48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PPP_Raffraichir">
                <anchor moveWithCells="1" sizeWithCells="1">
                  <from>
                    <xdr:col>0</xdr:col>
                    <xdr:colOff>165100</xdr:colOff>
                    <xdr:row>0</xdr:row>
                    <xdr:rowOff>63500</xdr:rowOff>
                  </from>
                  <to>
                    <xdr:col>0</xdr:col>
                    <xdr:colOff>1460500</xdr:colOff>
                    <xdr:row>0</xdr:row>
                    <xdr:rowOff>673100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3986C-1A81-444B-A34D-336AF45F20D7}">
  <sheetPr codeName="Feuil14"/>
  <dimension ref="A1:I30"/>
  <sheetViews>
    <sheetView workbookViewId="0">
      <selection activeCell="H1" sqref="H1"/>
    </sheetView>
  </sheetViews>
  <sheetFormatPr baseColWidth="10" defaultRowHeight="16" x14ac:dyDescent="0.2"/>
  <cols>
    <col min="1" max="1" width="19.83203125" customWidth="1"/>
    <col min="2" max="2" width="25.6640625" bestFit="1" customWidth="1"/>
    <col min="3" max="3" width="20.1640625" bestFit="1" customWidth="1"/>
    <col min="4" max="4" width="18.6640625" bestFit="1" customWidth="1"/>
    <col min="5" max="5" width="16.6640625" bestFit="1" customWidth="1"/>
    <col min="6" max="6" width="45.83203125" bestFit="1" customWidth="1"/>
    <col min="7" max="7" width="19" bestFit="1" customWidth="1"/>
    <col min="8" max="8" width="23" bestFit="1" customWidth="1"/>
    <col min="9" max="9" width="37" bestFit="1" customWidth="1"/>
    <col min="10" max="10" width="18.33203125" bestFit="1" customWidth="1"/>
    <col min="11" max="11" width="11.83203125" bestFit="1" customWidth="1"/>
    <col min="12" max="12" width="12.83203125" bestFit="1" customWidth="1"/>
    <col min="13" max="13" width="20.6640625" bestFit="1" customWidth="1"/>
    <col min="14" max="14" width="13" bestFit="1" customWidth="1"/>
    <col min="15" max="15" width="45.83203125" bestFit="1" customWidth="1"/>
    <col min="16" max="16" width="37" bestFit="1" customWidth="1"/>
  </cols>
  <sheetData>
    <row r="1" spans="1:9" ht="66" customHeight="1" x14ac:dyDescent="0.2">
      <c r="A1">
        <v>1</v>
      </c>
      <c r="B1" s="128" t="s">
        <v>59</v>
      </c>
      <c r="C1" s="128" t="s">
        <v>377</v>
      </c>
      <c r="D1" s="128" t="s">
        <v>365</v>
      </c>
      <c r="E1" s="128" t="s">
        <v>367</v>
      </c>
      <c r="F1" s="128" t="s">
        <v>369</v>
      </c>
      <c r="G1" s="128" t="s">
        <v>368</v>
      </c>
      <c r="H1" s="128" t="s">
        <v>370</v>
      </c>
      <c r="I1" s="128" t="s">
        <v>90</v>
      </c>
    </row>
    <row r="2" spans="1:9" x14ac:dyDescent="0.2">
      <c r="B2" s="130" t="s">
        <v>76</v>
      </c>
      <c r="C2" s="130" t="s">
        <v>55</v>
      </c>
      <c r="D2" s="130" t="s">
        <v>10</v>
      </c>
      <c r="E2" s="130" t="s">
        <v>13</v>
      </c>
      <c r="F2" s="130" t="s">
        <v>26</v>
      </c>
      <c r="G2" s="130" t="s">
        <v>106</v>
      </c>
      <c r="H2" s="130" t="s">
        <v>37</v>
      </c>
      <c r="I2" s="129" t="s">
        <v>354</v>
      </c>
    </row>
    <row r="3" spans="1:9" x14ac:dyDescent="0.2">
      <c r="B3" s="130" t="s">
        <v>75</v>
      </c>
      <c r="C3" s="130" t="s">
        <v>119</v>
      </c>
      <c r="D3" s="130" t="s">
        <v>29</v>
      </c>
      <c r="E3" s="129" t="s">
        <v>12</v>
      </c>
      <c r="G3" s="130" t="s">
        <v>22</v>
      </c>
      <c r="H3" s="130" t="s">
        <v>35</v>
      </c>
      <c r="I3" s="129" t="s">
        <v>355</v>
      </c>
    </row>
    <row r="4" spans="1:9" x14ac:dyDescent="0.2">
      <c r="A4" t="s">
        <v>378</v>
      </c>
      <c r="B4" s="130" t="s">
        <v>73</v>
      </c>
      <c r="C4" s="130" t="s">
        <v>127</v>
      </c>
      <c r="D4" s="129" t="s">
        <v>11</v>
      </c>
      <c r="G4" s="130" t="s">
        <v>16</v>
      </c>
      <c r="H4" s="130" t="s">
        <v>24</v>
      </c>
      <c r="I4" s="129" t="s">
        <v>96</v>
      </c>
    </row>
    <row r="5" spans="1:9" x14ac:dyDescent="0.2">
      <c r="B5" s="130" t="s">
        <v>74</v>
      </c>
      <c r="C5" s="130" t="s">
        <v>39</v>
      </c>
      <c r="D5" s="129" t="s">
        <v>67</v>
      </c>
      <c r="G5" s="130" t="s">
        <v>66</v>
      </c>
      <c r="H5" s="130" t="s">
        <v>57</v>
      </c>
      <c r="I5" s="129" t="s">
        <v>98</v>
      </c>
    </row>
    <row r="6" spans="1:9" x14ac:dyDescent="0.2">
      <c r="B6" s="130" t="s">
        <v>9</v>
      </c>
      <c r="C6" s="129" t="s">
        <v>58</v>
      </c>
      <c r="G6" s="130" t="s">
        <v>15</v>
      </c>
      <c r="H6" s="130" t="s">
        <v>93</v>
      </c>
      <c r="I6" s="129" t="s">
        <v>100</v>
      </c>
    </row>
    <row r="7" spans="1:9" x14ac:dyDescent="0.2">
      <c r="B7" s="130" t="s">
        <v>43</v>
      </c>
      <c r="C7" s="129" t="s">
        <v>40</v>
      </c>
      <c r="G7" s="129" t="s">
        <v>52</v>
      </c>
      <c r="I7" s="129" t="s">
        <v>104</v>
      </c>
    </row>
    <row r="8" spans="1:9" x14ac:dyDescent="0.2">
      <c r="B8" s="130" t="s">
        <v>111</v>
      </c>
      <c r="C8" s="129" t="s">
        <v>54</v>
      </c>
      <c r="G8" s="129" t="s">
        <v>19</v>
      </c>
      <c r="I8" s="129" t="s">
        <v>109</v>
      </c>
    </row>
    <row r="9" spans="1:9" x14ac:dyDescent="0.2">
      <c r="B9" s="130" t="s">
        <v>33</v>
      </c>
      <c r="C9" s="129" t="s">
        <v>41</v>
      </c>
      <c r="G9" s="129" t="s">
        <v>20</v>
      </c>
      <c r="I9" s="129" t="s">
        <v>110</v>
      </c>
    </row>
    <row r="10" spans="1:9" x14ac:dyDescent="0.2">
      <c r="B10" s="130" t="s">
        <v>8</v>
      </c>
      <c r="C10" s="129" t="s">
        <v>42</v>
      </c>
      <c r="G10" s="129" t="s">
        <v>18</v>
      </c>
      <c r="I10" s="129" t="s">
        <v>162</v>
      </c>
    </row>
    <row r="11" spans="1:9" x14ac:dyDescent="0.2">
      <c r="B11" s="130" t="s">
        <v>65</v>
      </c>
      <c r="C11" s="129" t="s">
        <v>117</v>
      </c>
      <c r="G11" s="129" t="s">
        <v>25</v>
      </c>
      <c r="I11" s="129" t="s">
        <v>163</v>
      </c>
    </row>
    <row r="12" spans="1:9" x14ac:dyDescent="0.2">
      <c r="B12" s="130" t="s">
        <v>101</v>
      </c>
      <c r="C12" s="129" t="s">
        <v>69</v>
      </c>
      <c r="I12" s="129" t="s">
        <v>165</v>
      </c>
    </row>
    <row r="13" spans="1:9" x14ac:dyDescent="0.2">
      <c r="B13" s="129" t="s">
        <v>102</v>
      </c>
      <c r="I13" s="129" t="s">
        <v>167</v>
      </c>
    </row>
    <row r="14" spans="1:9" x14ac:dyDescent="0.2">
      <c r="B14" s="129" t="s">
        <v>97</v>
      </c>
      <c r="I14" s="129" t="s">
        <v>168</v>
      </c>
    </row>
    <row r="15" spans="1:9" x14ac:dyDescent="0.2">
      <c r="B15" s="129" t="s">
        <v>30</v>
      </c>
      <c r="I15" s="129" t="s">
        <v>169</v>
      </c>
    </row>
    <row r="16" spans="1:9" x14ac:dyDescent="0.2">
      <c r="B16" s="129" t="s">
        <v>77</v>
      </c>
    </row>
    <row r="17" spans="2:2" x14ac:dyDescent="0.2">
      <c r="B17" s="129" t="s">
        <v>105</v>
      </c>
    </row>
    <row r="18" spans="2:2" x14ac:dyDescent="0.2">
      <c r="B18" s="129" t="s">
        <v>44</v>
      </c>
    </row>
    <row r="19" spans="2:2" x14ac:dyDescent="0.2">
      <c r="B19" s="129" t="s">
        <v>51</v>
      </c>
    </row>
    <row r="20" spans="2:2" x14ac:dyDescent="0.2">
      <c r="B20" s="129" t="s">
        <v>49</v>
      </c>
    </row>
    <row r="21" spans="2:2" x14ac:dyDescent="0.2">
      <c r="B21" s="129" t="s">
        <v>70</v>
      </c>
    </row>
    <row r="22" spans="2:2" x14ac:dyDescent="0.2">
      <c r="B22" s="129" t="s">
        <v>166</v>
      </c>
    </row>
    <row r="23" spans="2:2" x14ac:dyDescent="0.2">
      <c r="B23" s="129" t="s">
        <v>53</v>
      </c>
    </row>
    <row r="24" spans="2:2" x14ac:dyDescent="0.2">
      <c r="B24" s="129" t="s">
        <v>23</v>
      </c>
    </row>
    <row r="25" spans="2:2" x14ac:dyDescent="0.2">
      <c r="B25" s="129" t="s">
        <v>50</v>
      </c>
    </row>
    <row r="26" spans="2:2" x14ac:dyDescent="0.2">
      <c r="B26" s="129" t="s">
        <v>45</v>
      </c>
    </row>
    <row r="27" spans="2:2" x14ac:dyDescent="0.2">
      <c r="B27" s="129" t="s">
        <v>68</v>
      </c>
    </row>
    <row r="28" spans="2:2" x14ac:dyDescent="0.2">
      <c r="B28" s="129" t="s">
        <v>46</v>
      </c>
    </row>
    <row r="29" spans="2:2" x14ac:dyDescent="0.2">
      <c r="B29" s="129" t="s">
        <v>17</v>
      </c>
    </row>
    <row r="30" spans="2:2" x14ac:dyDescent="0.2">
      <c r="B30" s="129" t="s">
        <v>28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PPPER_Raffraichir">
                <anchor moveWithCells="1" sizeWithCells="1">
                  <from>
                    <xdr:col>0</xdr:col>
                    <xdr:colOff>165100</xdr:colOff>
                    <xdr:row>0</xdr:row>
                    <xdr:rowOff>63500</xdr:rowOff>
                  </from>
                  <to>
                    <xdr:col>0</xdr:col>
                    <xdr:colOff>1270000</xdr:colOff>
                    <xdr:row>0</xdr:row>
                    <xdr:rowOff>736600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8E2A4-D308-DE4A-A546-125BFAF5E85B}">
  <sheetPr codeName="Feuil4"/>
  <dimension ref="A1:L503"/>
  <sheetViews>
    <sheetView tabSelected="1" topLeftCell="A457" workbookViewId="0">
      <selection activeCell="A502" sqref="A502"/>
    </sheetView>
  </sheetViews>
  <sheetFormatPr baseColWidth="10" defaultRowHeight="16" x14ac:dyDescent="0.2"/>
  <cols>
    <col min="1" max="1" width="26.1640625" style="19" bestFit="1" customWidth="1"/>
    <col min="2" max="2" width="45.83203125" bestFit="1" customWidth="1"/>
    <col min="3" max="3" width="7.83203125" style="11" bestFit="1" customWidth="1"/>
    <col min="4" max="4" width="11.1640625" bestFit="1" customWidth="1"/>
    <col min="5" max="5" width="24.1640625" style="9" bestFit="1" customWidth="1"/>
    <col min="6" max="6" width="30.1640625" style="9" bestFit="1" customWidth="1"/>
    <col min="7" max="8" width="5" customWidth="1"/>
  </cols>
  <sheetData>
    <row r="1" spans="1:6" s="81" customFormat="1" ht="17" x14ac:dyDescent="0.2">
      <c r="A1" s="72" t="s">
        <v>113</v>
      </c>
      <c r="B1" s="106" t="s">
        <v>128</v>
      </c>
      <c r="C1" s="106"/>
      <c r="D1" s="106"/>
      <c r="E1" s="106"/>
      <c r="F1" s="106"/>
    </row>
    <row r="2" spans="1:6" ht="17" thickBot="1" x14ac:dyDescent="0.25"/>
    <row r="3" spans="1:6" s="19" customFormat="1" ht="17" thickBot="1" x14ac:dyDescent="0.25">
      <c r="A3" s="12" t="s">
        <v>115</v>
      </c>
      <c r="B3" s="125" t="s">
        <v>354</v>
      </c>
      <c r="C3" s="13"/>
      <c r="D3" s="12"/>
      <c r="E3" s="14"/>
      <c r="F3" s="14"/>
    </row>
    <row r="4" spans="1:6" ht="17" x14ac:dyDescent="0.2">
      <c r="A4" s="12"/>
      <c r="B4" s="12"/>
      <c r="C4" s="88" t="s">
        <v>82</v>
      </c>
      <c r="D4" s="88" t="s">
        <v>83</v>
      </c>
      <c r="E4" s="88" t="s">
        <v>84</v>
      </c>
      <c r="F4" s="88" t="s">
        <v>85</v>
      </c>
    </row>
    <row r="5" spans="1:6" x14ac:dyDescent="0.2">
      <c r="A5" s="12"/>
      <c r="B5" s="2" t="s">
        <v>12</v>
      </c>
      <c r="C5" s="6">
        <v>1</v>
      </c>
      <c r="D5" s="3" t="str">
        <f>VLOOKUP(B5,Produits!A:G,3,FALSE)</f>
        <v>Kilogramme</v>
      </c>
      <c r="E5" s="93">
        <f>VLOOKUP(B5,Produits!A:G,7,FALSE)</f>
        <v>2.95</v>
      </c>
      <c r="F5" s="96">
        <f>E5*C5</f>
        <v>2.95</v>
      </c>
    </row>
    <row r="6" spans="1:6" x14ac:dyDescent="0.2">
      <c r="A6" s="12"/>
      <c r="B6" s="2" t="s">
        <v>13</v>
      </c>
      <c r="C6" s="6">
        <v>0.1</v>
      </c>
      <c r="D6" s="3" t="str">
        <f>VLOOKUP(B6,Produits!A:G,3,FALSE)</f>
        <v>Kilogramme</v>
      </c>
      <c r="E6" s="93">
        <f>VLOOKUP(B6,Produits!A:G,7,FALSE)</f>
        <v>1.29</v>
      </c>
      <c r="F6" s="96">
        <f t="shared" ref="F6:F9" si="0">E6*C6</f>
        <v>0.129</v>
      </c>
    </row>
    <row r="7" spans="1:6" x14ac:dyDescent="0.2">
      <c r="A7" s="12"/>
      <c r="B7" s="2" t="s">
        <v>9</v>
      </c>
      <c r="C7" s="6">
        <v>4</v>
      </c>
      <c r="D7" s="3" t="str">
        <f>VLOOKUP(B7,Produits!A:G,3,FALSE)</f>
        <v>Pièce</v>
      </c>
      <c r="E7" s="93">
        <f>VLOOKUP(B7,Produits!A:G,7,FALSE)</f>
        <v>0.35749999999999998</v>
      </c>
      <c r="F7" s="96">
        <f t="shared" si="0"/>
        <v>1.43</v>
      </c>
    </row>
    <row r="8" spans="1:6" x14ac:dyDescent="0.2">
      <c r="A8" s="12"/>
      <c r="B8" s="2" t="s">
        <v>11</v>
      </c>
      <c r="C8" s="6">
        <v>2.5000000000000001E-2</v>
      </c>
      <c r="D8" s="3" t="str">
        <f>VLOOKUP(B8,Produits!A:G,3,FALSE)</f>
        <v>Kilogramme</v>
      </c>
      <c r="E8" s="93">
        <f>VLOOKUP(B8,Produits!A:G,7,FALSE)</f>
        <v>7</v>
      </c>
      <c r="F8" s="96">
        <f t="shared" si="0"/>
        <v>0.17500000000000002</v>
      </c>
    </row>
    <row r="9" spans="1:6" x14ac:dyDescent="0.2">
      <c r="A9" s="12"/>
      <c r="B9" s="2" t="s">
        <v>8</v>
      </c>
      <c r="C9" s="6">
        <v>0.5</v>
      </c>
      <c r="D9" s="3" t="str">
        <f>VLOOKUP(B9,Produits!A:G,3,FALSE)</f>
        <v>Litre</v>
      </c>
      <c r="E9" s="93">
        <f>VLOOKUP(B9,Produits!A:G,7,FALSE)</f>
        <v>1.46</v>
      </c>
      <c r="F9" s="96">
        <f t="shared" si="0"/>
        <v>0.73</v>
      </c>
    </row>
    <row r="10" spans="1:6" ht="17" x14ac:dyDescent="0.2">
      <c r="A10" s="12"/>
      <c r="B10" s="91" t="s">
        <v>86</v>
      </c>
      <c r="C10" s="104"/>
      <c r="D10" s="104"/>
      <c r="E10" s="104"/>
      <c r="F10" s="96">
        <f>SUM(F5:F9)</f>
        <v>5.4139999999999997</v>
      </c>
    </row>
    <row r="11" spans="1:6" x14ac:dyDescent="0.2">
      <c r="A11" s="12"/>
      <c r="B11" s="90" t="s">
        <v>138</v>
      </c>
      <c r="C11" s="6">
        <v>30</v>
      </c>
      <c r="D11" s="12"/>
      <c r="E11" s="12"/>
      <c r="F11" s="12"/>
    </row>
    <row r="12" spans="1:6" s="15" customFormat="1" x14ac:dyDescent="0.2">
      <c r="A12" s="12"/>
      <c r="B12" s="90" t="s">
        <v>129</v>
      </c>
      <c r="C12" s="105">
        <f>F10/C11</f>
        <v>0.18046666666666666</v>
      </c>
      <c r="D12" s="12"/>
      <c r="E12" s="12"/>
      <c r="F12" s="12"/>
    </row>
    <row r="14" spans="1:6" s="19" customFormat="1" x14ac:dyDescent="0.2">
      <c r="A14" s="12" t="s">
        <v>115</v>
      </c>
      <c r="B14" s="12" t="s">
        <v>355</v>
      </c>
      <c r="C14" s="13"/>
      <c r="D14" s="12"/>
      <c r="E14" s="14"/>
      <c r="F14" s="14"/>
    </row>
    <row r="15" spans="1:6" ht="17" x14ac:dyDescent="0.2">
      <c r="A15" s="12"/>
      <c r="B15" s="12"/>
      <c r="C15" s="88" t="s">
        <v>82</v>
      </c>
      <c r="D15" s="88" t="s">
        <v>83</v>
      </c>
      <c r="E15" s="88" t="s">
        <v>84</v>
      </c>
      <c r="F15" s="88" t="s">
        <v>85</v>
      </c>
    </row>
    <row r="16" spans="1:6" x14ac:dyDescent="0.2">
      <c r="A16" s="12"/>
      <c r="B16" s="2" t="s">
        <v>13</v>
      </c>
      <c r="C16" s="6">
        <v>1</v>
      </c>
      <c r="D16" s="3" t="str">
        <f>VLOOKUP(B16,Produits!A:G,3,FALSE)</f>
        <v>Kilogramme</v>
      </c>
      <c r="E16" s="93">
        <f>VLOOKUP(B16,Produits!A:G,7,FALSE)</f>
        <v>1.29</v>
      </c>
      <c r="F16" s="96">
        <f>E16*C16</f>
        <v>1.29</v>
      </c>
    </row>
    <row r="17" spans="1:6" x14ac:dyDescent="0.2">
      <c r="A17" s="12"/>
      <c r="B17" s="2" t="s">
        <v>12</v>
      </c>
      <c r="C17" s="6">
        <v>0.03</v>
      </c>
      <c r="D17" s="3" t="str">
        <f>VLOOKUP(B17,Produits!A:G,3,FALSE)</f>
        <v>Kilogramme</v>
      </c>
      <c r="E17" s="93">
        <f>VLOOKUP(B17,Produits!A:G,7,FALSE)</f>
        <v>2.95</v>
      </c>
      <c r="F17" s="96">
        <f t="shared" ref="F17:F21" si="1">E17*C17</f>
        <v>8.8499999999999995E-2</v>
      </c>
    </row>
    <row r="18" spans="1:6" x14ac:dyDescent="0.2">
      <c r="A18" s="12"/>
      <c r="B18" s="2" t="s">
        <v>65</v>
      </c>
      <c r="C18" s="6">
        <v>0.4</v>
      </c>
      <c r="D18" s="3" t="str">
        <f>VLOOKUP(B18,Produits!A:G,3,FALSE)</f>
        <v>Kilogramme</v>
      </c>
      <c r="E18" s="93">
        <f>VLOOKUP(B18,Produits!A:G,7,FALSE)</f>
        <v>1.85</v>
      </c>
      <c r="F18" s="96">
        <f t="shared" si="1"/>
        <v>0.7400000000000001</v>
      </c>
    </row>
    <row r="19" spans="1:6" x14ac:dyDescent="0.2">
      <c r="A19" s="12"/>
      <c r="B19" s="2" t="s">
        <v>9</v>
      </c>
      <c r="C19" s="6">
        <v>10</v>
      </c>
      <c r="D19" s="3" t="str">
        <f>VLOOKUP(B19,Produits!A:G,3,FALSE)</f>
        <v>Pièce</v>
      </c>
      <c r="E19" s="93">
        <f>VLOOKUP(B19,Produits!A:G,7,FALSE)</f>
        <v>0.35749999999999998</v>
      </c>
      <c r="F19" s="96">
        <f t="shared" si="1"/>
        <v>3.5749999999999997</v>
      </c>
    </row>
    <row r="20" spans="1:6" x14ac:dyDescent="0.2">
      <c r="A20" s="12"/>
      <c r="B20" s="2" t="s">
        <v>8</v>
      </c>
      <c r="C20" s="6">
        <v>1.5</v>
      </c>
      <c r="D20" s="3" t="str">
        <f>VLOOKUP(B20,Produits!A:G,3,FALSE)</f>
        <v>Litre</v>
      </c>
      <c r="E20" s="93">
        <f>VLOOKUP(B20,Produits!A:G,7,FALSE)</f>
        <v>1.46</v>
      </c>
      <c r="F20" s="96">
        <f t="shared" si="1"/>
        <v>2.19</v>
      </c>
    </row>
    <row r="21" spans="1:6" x14ac:dyDescent="0.2">
      <c r="A21" s="12"/>
      <c r="B21" s="2" t="s">
        <v>10</v>
      </c>
      <c r="C21" s="6">
        <v>5.0000000000000001E-3</v>
      </c>
      <c r="D21" s="3" t="str">
        <f>VLOOKUP(B21,Produits!A:G,3,FALSE)</f>
        <v>Kilogramme</v>
      </c>
      <c r="E21" s="93">
        <f>VLOOKUP(B21,Produits!A:G,7,FALSE)</f>
        <v>1.1000000000000001</v>
      </c>
      <c r="F21" s="96">
        <f t="shared" si="1"/>
        <v>5.5000000000000005E-3</v>
      </c>
    </row>
    <row r="22" spans="1:6" ht="17" x14ac:dyDescent="0.2">
      <c r="A22" s="12"/>
      <c r="B22" s="91" t="s">
        <v>86</v>
      </c>
      <c r="C22" s="104"/>
      <c r="D22" s="95"/>
      <c r="E22" s="95"/>
      <c r="F22" s="96">
        <f>SUM(F16:F21)</f>
        <v>7.8889999999999993</v>
      </c>
    </row>
    <row r="23" spans="1:6" x14ac:dyDescent="0.2">
      <c r="A23" s="12"/>
      <c r="B23" s="90" t="s">
        <v>138</v>
      </c>
      <c r="C23" s="6">
        <v>40</v>
      </c>
      <c r="D23" s="12"/>
      <c r="E23" s="12"/>
      <c r="F23" s="12"/>
    </row>
    <row r="24" spans="1:6" s="15" customFormat="1" x14ac:dyDescent="0.2">
      <c r="A24" s="12"/>
      <c r="B24" s="90" t="s">
        <v>129</v>
      </c>
      <c r="C24" s="105">
        <f>F22/C23</f>
        <v>0.19722499999999998</v>
      </c>
      <c r="D24" s="12"/>
      <c r="E24" s="12"/>
      <c r="F24" s="12"/>
    </row>
    <row r="26" spans="1:6" x14ac:dyDescent="0.2">
      <c r="A26" s="1" t="s">
        <v>114</v>
      </c>
      <c r="B26" s="1" t="s">
        <v>87</v>
      </c>
      <c r="C26" s="10"/>
      <c r="D26" s="1"/>
      <c r="E26" s="7"/>
      <c r="F26" s="7"/>
    </row>
    <row r="27" spans="1:6" ht="17" x14ac:dyDescent="0.2">
      <c r="A27" s="107"/>
      <c r="B27" s="103"/>
      <c r="C27" s="88" t="s">
        <v>82</v>
      </c>
      <c r="D27" s="88" t="s">
        <v>83</v>
      </c>
      <c r="E27" s="88" t="s">
        <v>84</v>
      </c>
      <c r="F27" s="88" t="s">
        <v>85</v>
      </c>
    </row>
    <row r="28" spans="1:6" x14ac:dyDescent="0.2">
      <c r="A28" s="107"/>
      <c r="B28" s="2" t="s">
        <v>354</v>
      </c>
      <c r="C28" s="6">
        <v>1</v>
      </c>
      <c r="D28" s="3" t="str">
        <f>VLOOKUP(B28,Produits!A:G,3,FALSE)</f>
        <v>Pièce</v>
      </c>
      <c r="E28" s="93">
        <f>VLOOKUP(B28,Produits!A:G,7,FALSE)</f>
        <v>0.18046666666666666</v>
      </c>
      <c r="F28" s="96">
        <f>E28*C28</f>
        <v>0.18046666666666666</v>
      </c>
    </row>
    <row r="29" spans="1:6" x14ac:dyDescent="0.2">
      <c r="A29" s="107"/>
      <c r="B29" s="2" t="s">
        <v>15</v>
      </c>
      <c r="C29" s="6">
        <v>0.01</v>
      </c>
      <c r="D29" s="3" t="str">
        <f>VLOOKUP(B29,Produits!A:G,3,FALSE)</f>
        <v>Kilogramme</v>
      </c>
      <c r="E29" s="93">
        <f>VLOOKUP(B29,Produits!A:G,7,FALSE)</f>
        <v>9.58</v>
      </c>
      <c r="F29" s="96">
        <f t="shared" ref="F29" si="2">E29*C29</f>
        <v>9.5799999999999996E-2</v>
      </c>
    </row>
    <row r="30" spans="1:6" ht="17" x14ac:dyDescent="0.2">
      <c r="A30" s="107"/>
      <c r="B30" s="91" t="s">
        <v>86</v>
      </c>
      <c r="C30" s="104"/>
      <c r="D30" s="95"/>
      <c r="E30" s="95"/>
      <c r="F30" s="96">
        <f>SUM(F28:F29)</f>
        <v>0.27626666666666666</v>
      </c>
    </row>
    <row r="31" spans="1:6" x14ac:dyDescent="0.2">
      <c r="A31" s="107"/>
      <c r="B31" s="90" t="s">
        <v>138</v>
      </c>
      <c r="C31" s="6">
        <v>1</v>
      </c>
      <c r="D31" s="98"/>
      <c r="E31" s="99"/>
      <c r="F31" s="99"/>
    </row>
    <row r="32" spans="1:6" s="15" customFormat="1" x14ac:dyDescent="0.2">
      <c r="A32" s="107"/>
      <c r="B32" s="90" t="s">
        <v>129</v>
      </c>
      <c r="C32" s="105">
        <f>F30/C31</f>
        <v>0.27626666666666666</v>
      </c>
      <c r="D32" s="100"/>
      <c r="E32" s="101"/>
      <c r="F32" s="102"/>
    </row>
    <row r="34" spans="1:6" x14ac:dyDescent="0.2">
      <c r="A34" s="1" t="s">
        <v>114</v>
      </c>
      <c r="B34" s="1" t="s">
        <v>91</v>
      </c>
      <c r="C34" s="10"/>
      <c r="D34" s="1"/>
      <c r="E34" s="7"/>
      <c r="F34" s="7"/>
    </row>
    <row r="35" spans="1:6" ht="17" x14ac:dyDescent="0.2">
      <c r="A35" s="107"/>
      <c r="B35" s="103"/>
      <c r="C35" s="88" t="s">
        <v>82</v>
      </c>
      <c r="D35" s="88" t="s">
        <v>83</v>
      </c>
      <c r="E35" s="88" t="s">
        <v>84</v>
      </c>
      <c r="F35" s="88" t="s">
        <v>85</v>
      </c>
    </row>
    <row r="36" spans="1:6" x14ac:dyDescent="0.2">
      <c r="A36" s="107"/>
      <c r="B36" s="2" t="s">
        <v>354</v>
      </c>
      <c r="C36" s="6">
        <v>1</v>
      </c>
      <c r="D36" s="3" t="str">
        <f>VLOOKUP(B36,Produits!A:G,3,FALSE)</f>
        <v>Pièce</v>
      </c>
      <c r="E36" s="93">
        <f>VLOOKUP(B36,Produits!A:G,7,FALSE)</f>
        <v>0.18046666666666666</v>
      </c>
      <c r="F36" s="96">
        <f>E36*C36</f>
        <v>0.18046666666666666</v>
      </c>
    </row>
    <row r="37" spans="1:6" x14ac:dyDescent="0.2">
      <c r="A37" s="107"/>
      <c r="B37" s="2" t="s">
        <v>16</v>
      </c>
      <c r="C37" s="6">
        <v>0.05</v>
      </c>
      <c r="D37" s="3" t="str">
        <f>VLOOKUP(B37,Produits!A:G,3,FALSE)</f>
        <v>Kilogramme</v>
      </c>
      <c r="E37" s="93">
        <f>VLOOKUP(B37,Produits!A:G,7,FALSE)</f>
        <v>8.18</v>
      </c>
      <c r="F37" s="96">
        <f t="shared" ref="F37:F39" si="3">E37*C37</f>
        <v>0.40900000000000003</v>
      </c>
    </row>
    <row r="38" spans="1:6" x14ac:dyDescent="0.2">
      <c r="A38" s="107"/>
      <c r="B38" s="2" t="s">
        <v>106</v>
      </c>
      <c r="C38" s="6">
        <v>0.05</v>
      </c>
      <c r="D38" s="3" t="str">
        <f>VLOOKUP(B38,Produits!A:G,3,FALSE)</f>
        <v>Litre</v>
      </c>
      <c r="E38" s="93">
        <f>VLOOKUP(B38,Produits!A:G,7,FALSE)</f>
        <v>4.49</v>
      </c>
      <c r="F38" s="96">
        <f t="shared" si="3"/>
        <v>0.22450000000000003</v>
      </c>
    </row>
    <row r="39" spans="1:6" x14ac:dyDescent="0.2">
      <c r="A39" s="107"/>
      <c r="B39" s="2" t="s">
        <v>23</v>
      </c>
      <c r="C39" s="6">
        <v>5.0000000000000001E-3</v>
      </c>
      <c r="D39" s="3" t="str">
        <f>VLOOKUP(B39,Produits!A:G,3,FALSE)</f>
        <v>Kilogramme</v>
      </c>
      <c r="E39" s="93">
        <f>VLOOKUP(B39,Produits!A:G,7,FALSE)</f>
        <v>23.2</v>
      </c>
      <c r="F39" s="96">
        <f t="shared" si="3"/>
        <v>0.11599999999999999</v>
      </c>
    </row>
    <row r="40" spans="1:6" x14ac:dyDescent="0.2">
      <c r="A40" s="107"/>
      <c r="B40" s="2" t="s">
        <v>15</v>
      </c>
      <c r="C40" s="6">
        <v>5.0000000000000001E-3</v>
      </c>
      <c r="D40" s="3" t="str">
        <f>VLOOKUP(B40,Produits!A:G,3,FALSE)</f>
        <v>Kilogramme</v>
      </c>
      <c r="E40" s="93">
        <f>VLOOKUP(B40,Produits!A:G,7,FALSE)</f>
        <v>9.58</v>
      </c>
      <c r="F40" s="96">
        <f t="shared" ref="F40" si="4">E40*C40</f>
        <v>4.7899999999999998E-2</v>
      </c>
    </row>
    <row r="41" spans="1:6" ht="17" x14ac:dyDescent="0.2">
      <c r="A41" s="107"/>
      <c r="B41" s="91" t="s">
        <v>86</v>
      </c>
      <c r="C41" s="104"/>
      <c r="D41" s="95"/>
      <c r="E41" s="95"/>
      <c r="F41" s="96">
        <f>SUM(F36:F40)</f>
        <v>0.97786666666666666</v>
      </c>
    </row>
    <row r="42" spans="1:6" x14ac:dyDescent="0.2">
      <c r="A42" s="107"/>
      <c r="B42" s="90" t="s">
        <v>138</v>
      </c>
      <c r="C42" s="6">
        <v>1</v>
      </c>
      <c r="D42" s="98"/>
      <c r="E42" s="99"/>
      <c r="F42" s="99"/>
    </row>
    <row r="43" spans="1:6" s="15" customFormat="1" x14ac:dyDescent="0.2">
      <c r="A43" s="107"/>
      <c r="B43" s="90" t="s">
        <v>129</v>
      </c>
      <c r="C43" s="105">
        <f>F41/C42</f>
        <v>0.97786666666666666</v>
      </c>
      <c r="D43" s="100"/>
      <c r="E43" s="101"/>
      <c r="F43" s="102"/>
    </row>
    <row r="45" spans="1:6" x14ac:dyDescent="0.2">
      <c r="A45" s="1" t="s">
        <v>114</v>
      </c>
      <c r="B45" s="1" t="s">
        <v>92</v>
      </c>
      <c r="C45" s="10"/>
      <c r="D45" s="1"/>
      <c r="E45" s="7"/>
      <c r="F45" s="7"/>
    </row>
    <row r="46" spans="1:6" ht="17" x14ac:dyDescent="0.2">
      <c r="A46" s="107"/>
      <c r="B46" s="103"/>
      <c r="C46" s="88" t="s">
        <v>82</v>
      </c>
      <c r="D46" s="88" t="s">
        <v>83</v>
      </c>
      <c r="E46" s="88" t="s">
        <v>84</v>
      </c>
      <c r="F46" s="88" t="s">
        <v>85</v>
      </c>
    </row>
    <row r="47" spans="1:6" x14ac:dyDescent="0.2">
      <c r="A47" s="107"/>
      <c r="B47" s="2" t="s">
        <v>354</v>
      </c>
      <c r="C47" s="6">
        <v>1</v>
      </c>
      <c r="D47" s="3" t="str">
        <f>VLOOKUP(B47,Produits!A:G,3,FALSE)</f>
        <v>Pièce</v>
      </c>
      <c r="E47" s="93">
        <f>VLOOKUP(B47,Produits!A:G,7,FALSE)</f>
        <v>0.18046666666666666</v>
      </c>
      <c r="F47" s="96">
        <f>E47*C47</f>
        <v>0.18046666666666666</v>
      </c>
    </row>
    <row r="48" spans="1:6" x14ac:dyDescent="0.2">
      <c r="A48" s="107"/>
      <c r="B48" s="2" t="s">
        <v>17</v>
      </c>
      <c r="C48" s="6">
        <v>0.05</v>
      </c>
      <c r="D48" s="3" t="str">
        <f>VLOOKUP(B48,Produits!A:G,3,FALSE)</f>
        <v>Kilogramme</v>
      </c>
      <c r="E48" s="93">
        <f>VLOOKUP(B48,Produits!A:G,7,FALSE)</f>
        <v>55.333333333333343</v>
      </c>
      <c r="F48" s="96">
        <f t="shared" ref="F48:F51" si="5">E48*C48</f>
        <v>2.7666666666666675</v>
      </c>
    </row>
    <row r="49" spans="1:6" x14ac:dyDescent="0.2">
      <c r="A49" s="107"/>
      <c r="B49" s="2" t="s">
        <v>106</v>
      </c>
      <c r="C49" s="6">
        <v>0.03</v>
      </c>
      <c r="D49" s="3" t="str">
        <f>VLOOKUP(B49,Produits!A:G,3,FALSE)</f>
        <v>Litre</v>
      </c>
      <c r="E49" s="93">
        <f>VLOOKUP(B49,Produits!A:G,7,FALSE)</f>
        <v>4.49</v>
      </c>
      <c r="F49" s="96">
        <f t="shared" si="5"/>
        <v>0.13470000000000001</v>
      </c>
    </row>
    <row r="50" spans="1:6" x14ac:dyDescent="0.2">
      <c r="A50" s="107"/>
      <c r="B50" s="2" t="s">
        <v>93</v>
      </c>
      <c r="C50" s="6">
        <v>0.06</v>
      </c>
      <c r="D50" s="3" t="str">
        <f>VLOOKUP(B50,Produits!A:G,3,FALSE)</f>
        <v>Kilogramme</v>
      </c>
      <c r="E50" s="93">
        <f>VLOOKUP(B50,Produits!A:G,7,FALSE)</f>
        <v>16.375</v>
      </c>
      <c r="F50" s="96">
        <f t="shared" si="5"/>
        <v>0.98249999999999993</v>
      </c>
    </row>
    <row r="51" spans="1:6" x14ac:dyDescent="0.2">
      <c r="A51" s="107"/>
      <c r="B51" s="2" t="s">
        <v>15</v>
      </c>
      <c r="C51" s="6">
        <v>5.0000000000000001E-3</v>
      </c>
      <c r="D51" s="94" t="str">
        <f>VLOOKUP(B51,Produits!A:G,3,FALSE)</f>
        <v>Kilogramme</v>
      </c>
      <c r="E51" s="93">
        <f>VLOOKUP(B51,Produits!A:G,7,FALSE)</f>
        <v>9.58</v>
      </c>
      <c r="F51" s="96">
        <f t="shared" si="5"/>
        <v>4.7899999999999998E-2</v>
      </c>
    </row>
    <row r="52" spans="1:6" ht="17" x14ac:dyDescent="0.2">
      <c r="A52" s="107"/>
      <c r="B52" s="91" t="s">
        <v>86</v>
      </c>
      <c r="C52" s="104"/>
      <c r="D52" s="95"/>
      <c r="E52" s="95"/>
      <c r="F52" s="96">
        <f>SUM(F47:F51)</f>
        <v>4.1122333333333341</v>
      </c>
    </row>
    <row r="53" spans="1:6" x14ac:dyDescent="0.2">
      <c r="A53" s="107"/>
      <c r="B53" s="90" t="s">
        <v>138</v>
      </c>
      <c r="C53" s="6">
        <v>1</v>
      </c>
      <c r="D53" s="98"/>
      <c r="E53" s="99"/>
      <c r="F53" s="99"/>
    </row>
    <row r="54" spans="1:6" s="15" customFormat="1" x14ac:dyDescent="0.2">
      <c r="A54" s="107"/>
      <c r="B54" s="90" t="s">
        <v>129</v>
      </c>
      <c r="C54" s="105">
        <f>F52/C53</f>
        <v>4.1122333333333341</v>
      </c>
      <c r="D54" s="100"/>
      <c r="E54" s="101"/>
      <c r="F54" s="102"/>
    </row>
    <row r="56" spans="1:6" x14ac:dyDescent="0.2">
      <c r="A56" s="12" t="s">
        <v>115</v>
      </c>
      <c r="B56" s="12" t="s">
        <v>98</v>
      </c>
      <c r="C56" s="13"/>
      <c r="D56" s="12"/>
      <c r="E56" s="14"/>
      <c r="F56" s="14"/>
    </row>
    <row r="57" spans="1:6" ht="17" x14ac:dyDescent="0.2">
      <c r="A57" s="12"/>
      <c r="B57" s="12"/>
      <c r="C57" s="88" t="s">
        <v>82</v>
      </c>
      <c r="D57" s="88" t="s">
        <v>83</v>
      </c>
      <c r="E57" s="88" t="s">
        <v>84</v>
      </c>
      <c r="F57" s="88" t="s">
        <v>85</v>
      </c>
    </row>
    <row r="58" spans="1:6" x14ac:dyDescent="0.2">
      <c r="A58" s="12"/>
      <c r="B58" s="2" t="s">
        <v>106</v>
      </c>
      <c r="C58" s="6">
        <v>1</v>
      </c>
      <c r="D58" s="3" t="str">
        <f>VLOOKUP(B58,Produits!A:G,3,FALSE)</f>
        <v>Litre</v>
      </c>
      <c r="E58" s="93">
        <f>VLOOKUP(B58,Produits!A:G,7,FALSE)</f>
        <v>4.49</v>
      </c>
      <c r="F58" s="96">
        <f>E58*C58</f>
        <v>4.49</v>
      </c>
    </row>
    <row r="59" spans="1:6" x14ac:dyDescent="0.2">
      <c r="A59" s="12"/>
      <c r="B59" s="2" t="s">
        <v>22</v>
      </c>
      <c r="C59" s="6">
        <v>0.45</v>
      </c>
      <c r="D59" s="3" t="str">
        <f>VLOOKUP(B59,Produits!A:G,3,FALSE)</f>
        <v>Kilogramme</v>
      </c>
      <c r="E59" s="93">
        <f>VLOOKUP(B59,Produits!A:G,7,FALSE)</f>
        <v>8</v>
      </c>
      <c r="F59" s="96">
        <f t="shared" ref="F59:F62" si="6">E59*C59</f>
        <v>3.6</v>
      </c>
    </row>
    <row r="60" spans="1:6" x14ac:dyDescent="0.2">
      <c r="A60" s="12"/>
      <c r="B60" s="2" t="s">
        <v>10</v>
      </c>
      <c r="C60" s="6">
        <v>0.01</v>
      </c>
      <c r="D60" s="3" t="str">
        <f>VLOOKUP(B60,Produits!A:G,3,FALSE)</f>
        <v>Kilogramme</v>
      </c>
      <c r="E60" s="93">
        <f>VLOOKUP(B60,Produits!A:G,7,FALSE)</f>
        <v>1.1000000000000001</v>
      </c>
      <c r="F60" s="96">
        <f t="shared" si="6"/>
        <v>1.1000000000000001E-2</v>
      </c>
    </row>
    <row r="61" spans="1:6" x14ac:dyDescent="0.2">
      <c r="A61" s="12"/>
      <c r="B61" s="2" t="s">
        <v>28</v>
      </c>
      <c r="C61" s="6">
        <v>0.01</v>
      </c>
      <c r="D61" s="3" t="str">
        <f>VLOOKUP(B61,Produits!A:G,3,FALSE)</f>
        <v>Kilogramme</v>
      </c>
      <c r="E61" s="93">
        <f>VLOOKUP(B61,Produits!A:G,7,FALSE)</f>
        <v>114.41176470588235</v>
      </c>
      <c r="F61" s="96">
        <f t="shared" si="6"/>
        <v>1.1441176470588235</v>
      </c>
    </row>
    <row r="62" spans="1:6" x14ac:dyDescent="0.2">
      <c r="A62" s="12"/>
      <c r="B62" s="2" t="s">
        <v>18</v>
      </c>
      <c r="C62" s="6">
        <v>0.05</v>
      </c>
      <c r="D62" s="3" t="str">
        <f>VLOOKUP(B62,Produits!A:G,3,FALSE)</f>
        <v>Kilogramme</v>
      </c>
      <c r="E62" s="93">
        <f>VLOOKUP(B62,Produits!A:G,7,FALSE)</f>
        <v>50</v>
      </c>
      <c r="F62" s="96">
        <f t="shared" si="6"/>
        <v>2.5</v>
      </c>
    </row>
    <row r="63" spans="1:6" ht="17" x14ac:dyDescent="0.2">
      <c r="A63" s="12"/>
      <c r="B63" s="91" t="s">
        <v>86</v>
      </c>
      <c r="C63" s="104"/>
      <c r="D63" s="95"/>
      <c r="E63" s="95"/>
      <c r="F63" s="96">
        <f>SUM(F58:F62)</f>
        <v>11.745117647058823</v>
      </c>
    </row>
    <row r="64" spans="1:6" x14ac:dyDescent="0.2">
      <c r="A64" s="12"/>
      <c r="B64" s="90" t="s">
        <v>138</v>
      </c>
      <c r="C64" s="6">
        <v>30</v>
      </c>
      <c r="D64" s="12"/>
      <c r="E64" s="12"/>
      <c r="F64" s="12"/>
    </row>
    <row r="65" spans="1:6" s="15" customFormat="1" x14ac:dyDescent="0.2">
      <c r="A65" s="12"/>
      <c r="B65" s="90" t="s">
        <v>129</v>
      </c>
      <c r="C65" s="105">
        <f>F63/C64</f>
        <v>0.39150392156862746</v>
      </c>
      <c r="D65" s="12"/>
      <c r="E65" s="12"/>
      <c r="F65" s="12"/>
    </row>
    <row r="67" spans="1:6" x14ac:dyDescent="0.2">
      <c r="A67" s="1" t="s">
        <v>114</v>
      </c>
      <c r="B67" s="1" t="s">
        <v>94</v>
      </c>
      <c r="C67" s="10"/>
      <c r="D67" s="1"/>
      <c r="E67" s="7"/>
      <c r="F67" s="7"/>
    </row>
    <row r="68" spans="1:6" ht="17" x14ac:dyDescent="0.2">
      <c r="A68" s="107"/>
      <c r="B68" s="103"/>
      <c r="C68" s="88" t="s">
        <v>82</v>
      </c>
      <c r="D68" s="88" t="s">
        <v>83</v>
      </c>
      <c r="E68" s="88" t="s">
        <v>84</v>
      </c>
      <c r="F68" s="88" t="s">
        <v>85</v>
      </c>
    </row>
    <row r="69" spans="1:6" x14ac:dyDescent="0.2">
      <c r="A69" s="107"/>
      <c r="B69" s="2" t="s">
        <v>354</v>
      </c>
      <c r="C69" s="6">
        <v>1</v>
      </c>
      <c r="D69" s="3" t="str">
        <f>VLOOKUP(B69,Produits!A:G,3,FALSE)</f>
        <v>Pièce</v>
      </c>
      <c r="E69" s="93">
        <f>VLOOKUP(B69,Produits!A:G,7,FALSE)</f>
        <v>0.18046666666666666</v>
      </c>
      <c r="F69" s="96">
        <f>E69*C69</f>
        <v>0.18046666666666666</v>
      </c>
    </row>
    <row r="70" spans="1:6" x14ac:dyDescent="0.2">
      <c r="A70" s="107"/>
      <c r="B70" s="2" t="s">
        <v>98</v>
      </c>
      <c r="C70" s="6">
        <v>1</v>
      </c>
      <c r="D70" s="3" t="str">
        <f>VLOOKUP(B70,Produits!A:G,3,FALSE)</f>
        <v>Pièce</v>
      </c>
      <c r="E70" s="93">
        <f>VLOOKUP(B70,Produits!A:G,7,FALSE)</f>
        <v>0.39150392156862746</v>
      </c>
      <c r="F70" s="96">
        <f t="shared" ref="F70:F73" si="7">E70*C70</f>
        <v>0.39150392156862746</v>
      </c>
    </row>
    <row r="71" spans="1:6" x14ac:dyDescent="0.2">
      <c r="A71" s="107"/>
      <c r="B71" s="2" t="s">
        <v>24</v>
      </c>
      <c r="C71" s="6">
        <v>1.4999999999999999E-2</v>
      </c>
      <c r="D71" s="3" t="str">
        <f>VLOOKUP(B71,Produits!A:G,3,FALSE)</f>
        <v>Kilogramme</v>
      </c>
      <c r="E71" s="93">
        <f>VLOOKUP(B71,Produits!A:G,7,FALSE)</f>
        <v>11.69</v>
      </c>
      <c r="F71" s="96">
        <f t="shared" si="7"/>
        <v>0.17534999999999998</v>
      </c>
    </row>
    <row r="72" spans="1:6" x14ac:dyDescent="0.2">
      <c r="A72" s="107"/>
      <c r="B72" s="2" t="s">
        <v>23</v>
      </c>
      <c r="C72" s="6">
        <v>0.01</v>
      </c>
      <c r="D72" s="3" t="str">
        <f>VLOOKUP(B72,Produits!A:G,3,FALSE)</f>
        <v>Kilogramme</v>
      </c>
      <c r="E72" s="93">
        <f>VLOOKUP(B72,Produits!A:G,7,FALSE)</f>
        <v>23.2</v>
      </c>
      <c r="F72" s="96">
        <f t="shared" si="7"/>
        <v>0.23199999999999998</v>
      </c>
    </row>
    <row r="73" spans="1:6" x14ac:dyDescent="0.2">
      <c r="A73" s="107"/>
      <c r="B73" s="2" t="s">
        <v>15</v>
      </c>
      <c r="C73" s="6">
        <v>5.0000000000000001E-3</v>
      </c>
      <c r="D73" s="3" t="str">
        <f>VLOOKUP(B73,Produits!A:G,3,FALSE)</f>
        <v>Kilogramme</v>
      </c>
      <c r="E73" s="93">
        <f>VLOOKUP(B73,Produits!A:G,7,FALSE)</f>
        <v>9.58</v>
      </c>
      <c r="F73" s="96">
        <f t="shared" si="7"/>
        <v>4.7899999999999998E-2</v>
      </c>
    </row>
    <row r="74" spans="1:6" ht="17" x14ac:dyDescent="0.2">
      <c r="A74" s="107"/>
      <c r="B74" s="91" t="s">
        <v>86</v>
      </c>
      <c r="C74" s="104"/>
      <c r="D74" s="95"/>
      <c r="E74" s="95"/>
      <c r="F74" s="96">
        <f>SUM(F69:F73)</f>
        <v>1.0272205882352941</v>
      </c>
    </row>
    <row r="75" spans="1:6" x14ac:dyDescent="0.2">
      <c r="A75" s="107"/>
      <c r="B75" s="90" t="s">
        <v>138</v>
      </c>
      <c r="C75" s="6">
        <v>1</v>
      </c>
      <c r="D75" s="98"/>
      <c r="E75" s="99"/>
      <c r="F75" s="99"/>
    </row>
    <row r="76" spans="1:6" s="15" customFormat="1" x14ac:dyDescent="0.2">
      <c r="A76" s="107"/>
      <c r="B76" s="90" t="s">
        <v>129</v>
      </c>
      <c r="C76" s="105">
        <f>F74/C75</f>
        <v>1.0272205882352941</v>
      </c>
      <c r="D76" s="100"/>
      <c r="E76" s="101"/>
      <c r="F76" s="102"/>
    </row>
    <row r="78" spans="1:6" s="19" customFormat="1" x14ac:dyDescent="0.2">
      <c r="A78" s="12" t="s">
        <v>115</v>
      </c>
      <c r="B78" s="12" t="s">
        <v>96</v>
      </c>
      <c r="C78" s="13"/>
      <c r="D78" s="12"/>
      <c r="E78" s="14"/>
      <c r="F78" s="14"/>
    </row>
    <row r="79" spans="1:6" ht="17" x14ac:dyDescent="0.2">
      <c r="A79" s="12"/>
      <c r="B79" s="12"/>
      <c r="C79" s="88" t="s">
        <v>82</v>
      </c>
      <c r="D79" s="88" t="s">
        <v>83</v>
      </c>
      <c r="E79" s="88" t="s">
        <v>84</v>
      </c>
      <c r="F79" s="88" t="s">
        <v>85</v>
      </c>
    </row>
    <row r="80" spans="1:6" x14ac:dyDescent="0.2">
      <c r="A80" s="12"/>
      <c r="B80" s="2" t="s">
        <v>106</v>
      </c>
      <c r="C80" s="6">
        <v>1</v>
      </c>
      <c r="D80" s="3" t="str">
        <f>VLOOKUP(B80,Produits!A:G,3,FALSE)</f>
        <v>Litre</v>
      </c>
      <c r="E80" s="93">
        <f>VLOOKUP(B80,Produits!A:G,7,FALSE)</f>
        <v>4.49</v>
      </c>
      <c r="F80" s="96">
        <f>E80*C80</f>
        <v>4.49</v>
      </c>
    </row>
    <row r="81" spans="1:6" x14ac:dyDescent="0.2">
      <c r="A81" s="12"/>
      <c r="B81" s="2" t="s">
        <v>97</v>
      </c>
      <c r="C81" s="6">
        <v>0.45</v>
      </c>
      <c r="D81" s="3" t="str">
        <f>VLOOKUP(B81,Produits!A:G,3,FALSE)</f>
        <v>Kilogramme</v>
      </c>
      <c r="E81" s="93">
        <f>VLOOKUP(B81,Produits!A:G,7,FALSE)</f>
        <v>4.6533333333333333</v>
      </c>
      <c r="F81" s="96">
        <f t="shared" ref="F81:F84" si="8">E81*C81</f>
        <v>2.0939999999999999</v>
      </c>
    </row>
    <row r="82" spans="1:6" x14ac:dyDescent="0.2">
      <c r="A82" s="12"/>
      <c r="B82" s="2" t="s">
        <v>10</v>
      </c>
      <c r="C82" s="6">
        <v>0.03</v>
      </c>
      <c r="D82" s="3" t="str">
        <f>VLOOKUP(B82,Produits!A:G,3,FALSE)</f>
        <v>Kilogramme</v>
      </c>
      <c r="E82" s="93">
        <f>VLOOKUP(B82,Produits!A:G,7,FALSE)</f>
        <v>1.1000000000000001</v>
      </c>
      <c r="F82" s="96">
        <f t="shared" si="8"/>
        <v>3.3000000000000002E-2</v>
      </c>
    </row>
    <row r="83" spans="1:6" x14ac:dyDescent="0.2">
      <c r="A83" s="12"/>
      <c r="B83" s="2" t="s">
        <v>28</v>
      </c>
      <c r="C83" s="6">
        <v>1.4999999999999999E-2</v>
      </c>
      <c r="D83" s="3" t="str">
        <f>VLOOKUP(B83,Produits!A:G,3,FALSE)</f>
        <v>Kilogramme</v>
      </c>
      <c r="E83" s="93">
        <f>VLOOKUP(B83,Produits!A:G,7,FALSE)</f>
        <v>114.41176470588235</v>
      </c>
      <c r="F83" s="96">
        <f t="shared" si="8"/>
        <v>1.7161764705882352</v>
      </c>
    </row>
    <row r="84" spans="1:6" x14ac:dyDescent="0.2">
      <c r="A84" s="12"/>
      <c r="B84" s="2" t="s">
        <v>18</v>
      </c>
      <c r="C84" s="6">
        <v>0.05</v>
      </c>
      <c r="D84" s="3" t="str">
        <f>VLOOKUP(B84,Produits!A:G,3,FALSE)</f>
        <v>Kilogramme</v>
      </c>
      <c r="E84" s="93">
        <f>VLOOKUP(B84,Produits!A:G,7,FALSE)</f>
        <v>50</v>
      </c>
      <c r="F84" s="96">
        <f t="shared" si="8"/>
        <v>2.5</v>
      </c>
    </row>
    <row r="85" spans="1:6" ht="17" x14ac:dyDescent="0.2">
      <c r="A85" s="12"/>
      <c r="B85" s="91" t="s">
        <v>86</v>
      </c>
      <c r="C85" s="104"/>
      <c r="D85" s="95"/>
      <c r="E85" s="95"/>
      <c r="F85" s="96">
        <f>SUM(F80:F84)</f>
        <v>10.833176470588235</v>
      </c>
    </row>
    <row r="86" spans="1:6" x14ac:dyDescent="0.2">
      <c r="A86" s="12"/>
      <c r="B86" s="90" t="s">
        <v>138</v>
      </c>
      <c r="C86" s="6">
        <v>30</v>
      </c>
      <c r="D86" s="12"/>
      <c r="E86" s="12"/>
      <c r="F86" s="12"/>
    </row>
    <row r="87" spans="1:6" s="15" customFormat="1" x14ac:dyDescent="0.2">
      <c r="A87" s="12"/>
      <c r="B87" s="90" t="s">
        <v>129</v>
      </c>
      <c r="C87" s="105">
        <f>F85/C86</f>
        <v>0.36110588235294117</v>
      </c>
      <c r="D87" s="12"/>
      <c r="E87" s="12"/>
      <c r="F87" s="12"/>
    </row>
    <row r="89" spans="1:6" x14ac:dyDescent="0.2">
      <c r="A89" s="1" t="s">
        <v>114</v>
      </c>
      <c r="B89" s="1" t="s">
        <v>95</v>
      </c>
      <c r="C89" s="10"/>
      <c r="D89" s="1"/>
      <c r="E89" s="7"/>
      <c r="F89" s="7"/>
    </row>
    <row r="90" spans="1:6" ht="17" x14ac:dyDescent="0.2">
      <c r="A90" s="107"/>
      <c r="B90" s="103"/>
      <c r="C90" s="88" t="s">
        <v>82</v>
      </c>
      <c r="D90" s="88" t="s">
        <v>83</v>
      </c>
      <c r="E90" s="88" t="s">
        <v>84</v>
      </c>
      <c r="F90" s="88" t="s">
        <v>85</v>
      </c>
    </row>
    <row r="91" spans="1:6" x14ac:dyDescent="0.2">
      <c r="A91" s="107"/>
      <c r="B91" s="2" t="s">
        <v>354</v>
      </c>
      <c r="C91" s="6">
        <v>1</v>
      </c>
      <c r="D91" s="3" t="str">
        <f>VLOOKUP(B91,Produits!A:G,3,FALSE)</f>
        <v>Pièce</v>
      </c>
      <c r="E91" s="93">
        <f>VLOOKUP(B91,Produits!A:G,7,FALSE)</f>
        <v>0.18046666666666666</v>
      </c>
      <c r="F91" s="96">
        <f>E91*C91</f>
        <v>0.18046666666666666</v>
      </c>
    </row>
    <row r="92" spans="1:6" x14ac:dyDescent="0.2">
      <c r="A92" s="107"/>
      <c r="B92" s="2" t="s">
        <v>26</v>
      </c>
      <c r="C92" s="6">
        <v>0.03</v>
      </c>
      <c r="D92" s="3" t="str">
        <f>VLOOKUP(B92,Produits!A:G,3,FALSE)</f>
        <v>Kilogramme</v>
      </c>
      <c r="E92" s="93">
        <f>VLOOKUP(B92,Produits!A:G,7,FALSE)</f>
        <v>80</v>
      </c>
      <c r="F92" s="96">
        <f t="shared" ref="F92:F94" si="9">E92*C92</f>
        <v>2.4</v>
      </c>
    </row>
    <row r="93" spans="1:6" x14ac:dyDescent="0.2">
      <c r="A93" s="107"/>
      <c r="B93" s="2" t="s">
        <v>96</v>
      </c>
      <c r="C93" s="6">
        <v>1</v>
      </c>
      <c r="D93" s="3" t="str">
        <f>VLOOKUP(B93,Produits!A:G,3,FALSE)</f>
        <v>Pièce</v>
      </c>
      <c r="E93" s="93">
        <f>VLOOKUP(B93,Produits!A:G,7,FALSE)</f>
        <v>0.36110588235294117</v>
      </c>
      <c r="F93" s="96">
        <f t="shared" si="9"/>
        <v>0.36110588235294117</v>
      </c>
    </row>
    <row r="94" spans="1:6" x14ac:dyDescent="0.2">
      <c r="A94" s="107"/>
      <c r="B94" s="2" t="s">
        <v>15</v>
      </c>
      <c r="C94" s="6">
        <v>5.0000000000000001E-3</v>
      </c>
      <c r="D94" s="3" t="str">
        <f>VLOOKUP(B94,Produits!A:G,3,FALSE)</f>
        <v>Kilogramme</v>
      </c>
      <c r="E94" s="93">
        <f>VLOOKUP(B94,Produits!A:G,7,FALSE)</f>
        <v>9.58</v>
      </c>
      <c r="F94" s="96">
        <f t="shared" si="9"/>
        <v>4.7899999999999998E-2</v>
      </c>
    </row>
    <row r="95" spans="1:6" ht="17" x14ac:dyDescent="0.2">
      <c r="A95" s="107"/>
      <c r="B95" s="91" t="s">
        <v>86</v>
      </c>
      <c r="C95" s="104"/>
      <c r="D95" s="95"/>
      <c r="E95" s="95"/>
      <c r="F95" s="96">
        <f>SUM(F91:F94)</f>
        <v>2.9894725490196077</v>
      </c>
    </row>
    <row r="96" spans="1:6" x14ac:dyDescent="0.2">
      <c r="A96" s="107"/>
      <c r="B96" s="90" t="s">
        <v>138</v>
      </c>
      <c r="C96" s="6">
        <v>1</v>
      </c>
      <c r="D96" s="98"/>
      <c r="E96" s="99"/>
      <c r="F96" s="99"/>
    </row>
    <row r="97" spans="1:6" s="15" customFormat="1" x14ac:dyDescent="0.2">
      <c r="A97" s="107"/>
      <c r="B97" s="90" t="s">
        <v>129</v>
      </c>
      <c r="C97" s="105">
        <f>F95/C96</f>
        <v>2.9894725490196077</v>
      </c>
      <c r="D97" s="100"/>
      <c r="E97" s="101"/>
      <c r="F97" s="102"/>
    </row>
    <row r="99" spans="1:6" s="19" customFormat="1" x14ac:dyDescent="0.2">
      <c r="A99" s="12" t="s">
        <v>115</v>
      </c>
      <c r="B99" s="12" t="s">
        <v>100</v>
      </c>
      <c r="C99" s="13"/>
      <c r="D99" s="12"/>
      <c r="E99" s="14"/>
      <c r="F99" s="14"/>
    </row>
    <row r="100" spans="1:6" ht="17" x14ac:dyDescent="0.2">
      <c r="A100" s="12"/>
      <c r="B100" s="12"/>
      <c r="C100" s="88" t="s">
        <v>82</v>
      </c>
      <c r="D100" s="88" t="s">
        <v>83</v>
      </c>
      <c r="E100" s="88" t="s">
        <v>84</v>
      </c>
      <c r="F100" s="88" t="s">
        <v>85</v>
      </c>
    </row>
    <row r="101" spans="1:6" x14ac:dyDescent="0.2">
      <c r="A101" s="12"/>
      <c r="B101" s="2" t="s">
        <v>101</v>
      </c>
      <c r="C101" s="6">
        <v>0.5</v>
      </c>
      <c r="D101" s="3" t="str">
        <f>VLOOKUP(B101,Produits!A:G,3,FALSE)</f>
        <v>Kilogramme</v>
      </c>
      <c r="E101" s="93">
        <f>VLOOKUP(B101,Produits!A:G,7,FALSE)</f>
        <v>3.28</v>
      </c>
      <c r="F101" s="96">
        <f>E101*C101</f>
        <v>1.64</v>
      </c>
    </row>
    <row r="102" spans="1:6" x14ac:dyDescent="0.2">
      <c r="A102" s="12"/>
      <c r="B102" s="2" t="s">
        <v>102</v>
      </c>
      <c r="C102" s="6">
        <v>0.03</v>
      </c>
      <c r="D102" s="3" t="str">
        <f>VLOOKUP(B102,Produits!A:G,3,FALSE)</f>
        <v>Kilogramme</v>
      </c>
      <c r="E102" s="93">
        <f>VLOOKUP(B102,Produits!A:G,7,FALSE)</f>
        <v>3.5227272727272729</v>
      </c>
      <c r="F102" s="96">
        <f t="shared" ref="F102:F109" si="10">E102*C102</f>
        <v>0.10568181818181818</v>
      </c>
    </row>
    <row r="103" spans="1:6" x14ac:dyDescent="0.2">
      <c r="A103" s="12"/>
      <c r="B103" s="2" t="s">
        <v>10</v>
      </c>
      <c r="C103" s="6">
        <v>7.0000000000000001E-3</v>
      </c>
      <c r="D103" s="3" t="str">
        <f>VLOOKUP(B103,Produits!A:G,3,FALSE)</f>
        <v>Kilogramme</v>
      </c>
      <c r="E103" s="93">
        <f>VLOOKUP(B103,Produits!A:G,7,FALSE)</f>
        <v>1.1000000000000001</v>
      </c>
      <c r="F103" s="96">
        <f t="shared" si="10"/>
        <v>7.7000000000000011E-3</v>
      </c>
    </row>
    <row r="104" spans="1:6" x14ac:dyDescent="0.2">
      <c r="A104" s="12"/>
      <c r="B104" s="2" t="s">
        <v>28</v>
      </c>
      <c r="C104" s="6">
        <v>7.0000000000000001E-3</v>
      </c>
      <c r="D104" s="3" t="str">
        <f>VLOOKUP(B104,Produits!A:G,3,FALSE)</f>
        <v>Kilogramme</v>
      </c>
      <c r="E104" s="93">
        <f>VLOOKUP(B104,Produits!A:G,7,FALSE)</f>
        <v>114.41176470588235</v>
      </c>
      <c r="F104" s="96">
        <f t="shared" si="10"/>
        <v>0.80088235294117649</v>
      </c>
    </row>
    <row r="105" spans="1:6" x14ac:dyDescent="0.2">
      <c r="A105" s="12"/>
      <c r="B105" s="2" t="s">
        <v>65</v>
      </c>
      <c r="C105" s="6">
        <v>7.0000000000000001E-3</v>
      </c>
      <c r="D105" s="3" t="str">
        <f>VLOOKUP(B105,Produits!A:G,3,FALSE)</f>
        <v>Kilogramme</v>
      </c>
      <c r="E105" s="93">
        <f>VLOOKUP(B105,Produits!A:G,7,FALSE)</f>
        <v>1.85</v>
      </c>
      <c r="F105" s="96">
        <f t="shared" ref="F105" si="11">E105*C105</f>
        <v>1.2950000000000001E-2</v>
      </c>
    </row>
    <row r="106" spans="1:6" x14ac:dyDescent="0.2">
      <c r="A106" s="12"/>
      <c r="B106" s="2" t="s">
        <v>33</v>
      </c>
      <c r="C106" s="6">
        <v>0.15</v>
      </c>
      <c r="D106" s="3" t="str">
        <f>VLOOKUP(B106,Produits!A:G,3,FALSE)</f>
        <v>Kilogramme</v>
      </c>
      <c r="E106" s="93">
        <f>VLOOKUP(B106,Produits!A:G,7,FALSE)</f>
        <v>1.345</v>
      </c>
      <c r="F106" s="96">
        <f t="shared" si="10"/>
        <v>0.20174999999999998</v>
      </c>
    </row>
    <row r="107" spans="1:6" x14ac:dyDescent="0.2">
      <c r="A107" s="12"/>
      <c r="B107" s="2" t="s">
        <v>16</v>
      </c>
      <c r="C107" s="6">
        <v>1.4999999999999999E-2</v>
      </c>
      <c r="D107" s="3" t="str">
        <f>VLOOKUP(B107,Produits!A:G,3,FALSE)</f>
        <v>Kilogramme</v>
      </c>
      <c r="E107" s="93">
        <f>VLOOKUP(B107,Produits!A:G,7,FALSE)</f>
        <v>8.18</v>
      </c>
      <c r="F107" s="96">
        <f t="shared" ref="F107" si="12">E107*C107</f>
        <v>0.12269999999999999</v>
      </c>
    </row>
    <row r="108" spans="1:6" x14ac:dyDescent="0.2">
      <c r="A108" s="12"/>
      <c r="B108" s="2" t="s">
        <v>20</v>
      </c>
      <c r="C108" s="6">
        <v>5.0000000000000001E-3</v>
      </c>
      <c r="D108" s="3" t="str">
        <f>VLOOKUP(B108,Produits!A:G,3,FALSE)</f>
        <v>Kilogramme</v>
      </c>
      <c r="E108" s="93">
        <f>VLOOKUP(B108,Produits!A:G,7,FALSE)</f>
        <v>19.799999999999997</v>
      </c>
      <c r="F108" s="96">
        <f t="shared" si="10"/>
        <v>9.8999999999999991E-2</v>
      </c>
    </row>
    <row r="109" spans="1:6" x14ac:dyDescent="0.2">
      <c r="A109" s="12"/>
      <c r="B109" s="2" t="s">
        <v>19</v>
      </c>
      <c r="C109" s="6">
        <v>5.0000000000000001E-3</v>
      </c>
      <c r="D109" s="94" t="str">
        <f>VLOOKUP(B109,Produits!A:G,3,FALSE)</f>
        <v>Kilogramme</v>
      </c>
      <c r="E109" s="93">
        <f>VLOOKUP(B109,Produits!A:G,7,FALSE)</f>
        <v>19.799999999999997</v>
      </c>
      <c r="F109" s="96">
        <f t="shared" si="10"/>
        <v>9.8999999999999991E-2</v>
      </c>
    </row>
    <row r="110" spans="1:6" ht="17" x14ac:dyDescent="0.2">
      <c r="A110" s="12"/>
      <c r="B110" s="91" t="s">
        <v>86</v>
      </c>
      <c r="C110" s="104"/>
      <c r="D110" s="95"/>
      <c r="E110" s="95"/>
      <c r="F110" s="96">
        <f>SUM(F101:F109)</f>
        <v>3.0896641711229953</v>
      </c>
    </row>
    <row r="111" spans="1:6" x14ac:dyDescent="0.2">
      <c r="A111" s="12"/>
      <c r="B111" s="90" t="s">
        <v>138</v>
      </c>
      <c r="C111" s="6">
        <v>12</v>
      </c>
      <c r="D111" s="12"/>
      <c r="E111" s="12"/>
      <c r="F111" s="12"/>
    </row>
    <row r="112" spans="1:6" s="15" customFormat="1" x14ac:dyDescent="0.2">
      <c r="A112" s="12"/>
      <c r="B112" s="90" t="s">
        <v>129</v>
      </c>
      <c r="C112" s="105">
        <f>F110/C111</f>
        <v>0.25747201426024963</v>
      </c>
      <c r="D112" s="12"/>
      <c r="E112" s="12"/>
      <c r="F112" s="12"/>
    </row>
    <row r="114" spans="1:6" s="19" customFormat="1" x14ac:dyDescent="0.2">
      <c r="A114" s="12" t="s">
        <v>115</v>
      </c>
      <c r="B114" s="12" t="s">
        <v>104</v>
      </c>
      <c r="C114" s="13"/>
      <c r="D114" s="12"/>
      <c r="E114" s="14"/>
      <c r="F114" s="14"/>
    </row>
    <row r="115" spans="1:6" ht="17" x14ac:dyDescent="0.2">
      <c r="A115" s="12"/>
      <c r="B115" s="12"/>
      <c r="C115" s="88" t="s">
        <v>82</v>
      </c>
      <c r="D115" s="88" t="s">
        <v>83</v>
      </c>
      <c r="E115" s="88" t="s">
        <v>84</v>
      </c>
      <c r="F115" s="88" t="s">
        <v>85</v>
      </c>
    </row>
    <row r="116" spans="1:6" x14ac:dyDescent="0.2">
      <c r="A116" s="12"/>
      <c r="B116" s="2" t="s">
        <v>30</v>
      </c>
      <c r="C116" s="6">
        <v>0.5</v>
      </c>
      <c r="D116" s="3" t="str">
        <f>VLOOKUP(B116,Produits!A:G,3,FALSE)</f>
        <v>Kilogramme</v>
      </c>
      <c r="E116" s="93">
        <f>VLOOKUP(B116,Produits!A:G,7,FALSE)</f>
        <v>5.2325581395348841</v>
      </c>
      <c r="F116" s="96">
        <f>E116*C116</f>
        <v>2.6162790697674421</v>
      </c>
    </row>
    <row r="117" spans="1:6" x14ac:dyDescent="0.2">
      <c r="A117" s="12"/>
      <c r="B117" s="2" t="s">
        <v>105</v>
      </c>
      <c r="C117" s="6">
        <v>0.1</v>
      </c>
      <c r="D117" s="3" t="str">
        <f>VLOOKUP(B117,Produits!A:G,3,FALSE)</f>
        <v>Litre</v>
      </c>
      <c r="E117" s="93">
        <f>VLOOKUP(B117,Produits!A:G,7,FALSE)</f>
        <v>3.98</v>
      </c>
      <c r="F117" s="96">
        <f t="shared" ref="F117" si="13">E117*C117</f>
        <v>0.39800000000000002</v>
      </c>
    </row>
    <row r="118" spans="1:6" ht="17" x14ac:dyDescent="0.2">
      <c r="A118" s="12"/>
      <c r="B118" s="91" t="s">
        <v>86</v>
      </c>
      <c r="C118" s="104"/>
      <c r="D118" s="95"/>
      <c r="E118" s="95"/>
      <c r="F118" s="96">
        <f>SUM(F116:F117)</f>
        <v>3.0142790697674422</v>
      </c>
    </row>
    <row r="119" spans="1:6" x14ac:dyDescent="0.2">
      <c r="A119" s="12"/>
      <c r="B119" s="90" t="s">
        <v>138</v>
      </c>
      <c r="C119" s="6">
        <v>12</v>
      </c>
      <c r="D119" s="12"/>
      <c r="E119" s="12"/>
      <c r="F119" s="12"/>
    </row>
    <row r="120" spans="1:6" s="15" customFormat="1" x14ac:dyDescent="0.2">
      <c r="A120" s="12"/>
      <c r="B120" s="90" t="s">
        <v>129</v>
      </c>
      <c r="C120" s="105">
        <f>F118/C119</f>
        <v>0.25118992248062016</v>
      </c>
      <c r="D120" s="12"/>
      <c r="E120" s="12"/>
      <c r="F120" s="12"/>
    </row>
    <row r="122" spans="1:6" s="19" customFormat="1" x14ac:dyDescent="0.2">
      <c r="A122" s="1" t="s">
        <v>114</v>
      </c>
      <c r="B122" s="1" t="s">
        <v>99</v>
      </c>
      <c r="C122" s="10"/>
      <c r="D122" s="1"/>
      <c r="E122" s="7"/>
      <c r="F122" s="7"/>
    </row>
    <row r="123" spans="1:6" ht="17" x14ac:dyDescent="0.2">
      <c r="A123" s="1"/>
      <c r="B123" s="1"/>
      <c r="C123" s="88" t="s">
        <v>82</v>
      </c>
      <c r="D123" s="88" t="s">
        <v>83</v>
      </c>
      <c r="E123" s="88" t="s">
        <v>84</v>
      </c>
      <c r="F123" s="88" t="s">
        <v>85</v>
      </c>
    </row>
    <row r="124" spans="1:6" x14ac:dyDescent="0.2">
      <c r="A124" s="1"/>
      <c r="B124" s="2" t="s">
        <v>354</v>
      </c>
      <c r="C124" s="6">
        <v>2</v>
      </c>
      <c r="D124" s="3" t="str">
        <f>VLOOKUP(B124,Produits!A:G,3,FALSE)</f>
        <v>Pièce</v>
      </c>
      <c r="E124" s="93">
        <f>VLOOKUP(B124,Produits!A:G,7,FALSE)</f>
        <v>0.18046666666666666</v>
      </c>
      <c r="F124" s="96">
        <f>E124*C124</f>
        <v>0.36093333333333333</v>
      </c>
    </row>
    <row r="125" spans="1:6" x14ac:dyDescent="0.2">
      <c r="A125" s="1"/>
      <c r="B125" s="2" t="s">
        <v>29</v>
      </c>
      <c r="C125" s="6">
        <v>1</v>
      </c>
      <c r="D125" s="3" t="str">
        <f>VLOOKUP(B125,Produits!A:G,3,FALSE)</f>
        <v>Pièce</v>
      </c>
      <c r="E125" s="93">
        <f>VLOOKUP(B125,Produits!A:G,7,FALSE)</f>
        <v>1.1125</v>
      </c>
      <c r="F125" s="96">
        <f t="shared" ref="F125:F127" si="14">E125*C125</f>
        <v>1.1125</v>
      </c>
    </row>
    <row r="126" spans="1:6" x14ac:dyDescent="0.2">
      <c r="A126" s="1"/>
      <c r="B126" s="2" t="s">
        <v>100</v>
      </c>
      <c r="C126" s="6">
        <v>1</v>
      </c>
      <c r="D126" s="3" t="str">
        <f>VLOOKUP(B126,Produits!A:G,3,FALSE)</f>
        <v>Pièce</v>
      </c>
      <c r="E126" s="93">
        <f>VLOOKUP(B126,Produits!A:G,7,FALSE)</f>
        <v>0.25747201426024963</v>
      </c>
      <c r="F126" s="96">
        <f t="shared" ref="F126" si="15">E126*C126</f>
        <v>0.25747201426024963</v>
      </c>
    </row>
    <row r="127" spans="1:6" x14ac:dyDescent="0.2">
      <c r="A127" s="1"/>
      <c r="B127" s="2" t="s">
        <v>104</v>
      </c>
      <c r="C127" s="6">
        <v>1</v>
      </c>
      <c r="D127" s="3" t="str">
        <f>VLOOKUP(B127,Produits!A:G,3,FALSE)</f>
        <v>Pièce</v>
      </c>
      <c r="E127" s="93">
        <f>VLOOKUP(B127,Produits!A:G,7,FALSE)</f>
        <v>0.25118992248062016</v>
      </c>
      <c r="F127" s="96">
        <f t="shared" si="14"/>
        <v>0.25118992248062016</v>
      </c>
    </row>
    <row r="128" spans="1:6" ht="17" x14ac:dyDescent="0.2">
      <c r="A128" s="1"/>
      <c r="B128" s="91" t="s">
        <v>86</v>
      </c>
      <c r="C128" s="104"/>
      <c r="D128" s="95"/>
      <c r="E128" s="95"/>
      <c r="F128" s="96">
        <f>SUM(F124:F127)</f>
        <v>1.9820952700742032</v>
      </c>
    </row>
    <row r="129" spans="1:6" x14ac:dyDescent="0.2">
      <c r="A129" s="1"/>
      <c r="B129" s="90" t="s">
        <v>138</v>
      </c>
      <c r="C129" s="6">
        <v>1</v>
      </c>
      <c r="D129" s="1"/>
      <c r="E129" s="1"/>
      <c r="F129" s="1"/>
    </row>
    <row r="130" spans="1:6" s="15" customFormat="1" x14ac:dyDescent="0.2">
      <c r="A130" s="1"/>
      <c r="B130" s="90" t="s">
        <v>129</v>
      </c>
      <c r="C130" s="105">
        <f>F128/C129</f>
        <v>1.9820952700742032</v>
      </c>
      <c r="D130" s="1"/>
      <c r="E130" s="1"/>
      <c r="F130" s="1"/>
    </row>
    <row r="132" spans="1:6" s="19" customFormat="1" x14ac:dyDescent="0.2">
      <c r="A132" s="1" t="s">
        <v>114</v>
      </c>
      <c r="B132" s="1" t="s">
        <v>107</v>
      </c>
      <c r="C132" s="10"/>
      <c r="D132" s="1"/>
      <c r="E132" s="7"/>
      <c r="F132" s="7"/>
    </row>
    <row r="133" spans="1:6" ht="17" x14ac:dyDescent="0.2">
      <c r="A133" s="1"/>
      <c r="B133" s="1"/>
      <c r="C133" s="88" t="s">
        <v>82</v>
      </c>
      <c r="D133" s="88" t="s">
        <v>83</v>
      </c>
      <c r="E133" s="88" t="s">
        <v>84</v>
      </c>
      <c r="F133" s="88" t="s">
        <v>85</v>
      </c>
    </row>
    <row r="134" spans="1:6" x14ac:dyDescent="0.2">
      <c r="A134" s="1"/>
      <c r="B134" s="2" t="s">
        <v>354</v>
      </c>
      <c r="C134" s="6">
        <v>2</v>
      </c>
      <c r="D134" s="3" t="str">
        <f>VLOOKUP(B134,Produits!A:G,3,FALSE)</f>
        <v>Pièce</v>
      </c>
      <c r="E134" s="93">
        <f>VLOOKUP(B134,Produits!A:G,7,FALSE)</f>
        <v>0.18046666666666666</v>
      </c>
      <c r="F134" s="96">
        <f>E134*C134</f>
        <v>0.36093333333333333</v>
      </c>
    </row>
    <row r="135" spans="1:6" x14ac:dyDescent="0.2">
      <c r="A135" s="1"/>
      <c r="B135" s="2" t="s">
        <v>9</v>
      </c>
      <c r="C135" s="6">
        <v>1</v>
      </c>
      <c r="D135" s="3" t="str">
        <f>VLOOKUP(B135,Produits!A:G,3,FALSE)</f>
        <v>Pièce</v>
      </c>
      <c r="E135" s="93">
        <f>VLOOKUP(B135,Produits!A:G,7,FALSE)</f>
        <v>0.35749999999999998</v>
      </c>
      <c r="F135" s="96">
        <f t="shared" ref="F135:F137" si="16">E135*C135</f>
        <v>0.35749999999999998</v>
      </c>
    </row>
    <row r="136" spans="1:6" x14ac:dyDescent="0.2">
      <c r="A136" s="1"/>
      <c r="B136" s="2" t="s">
        <v>67</v>
      </c>
      <c r="C136" s="6">
        <v>0.03</v>
      </c>
      <c r="D136" s="3" t="str">
        <f>VLOOKUP(B136,Produits!A:G,3,FALSE)</f>
        <v>Kilogramme</v>
      </c>
      <c r="E136" s="93">
        <f>VLOOKUP(B136,Produits!A:G,7,FALSE)</f>
        <v>18.875</v>
      </c>
      <c r="F136" s="96">
        <f t="shared" si="16"/>
        <v>0.56625000000000003</v>
      </c>
    </row>
    <row r="137" spans="1:6" x14ac:dyDescent="0.2">
      <c r="A137" s="1"/>
      <c r="B137" s="2" t="s">
        <v>66</v>
      </c>
      <c r="C137" s="6">
        <v>0.05</v>
      </c>
      <c r="D137" s="3" t="str">
        <f>VLOOKUP(B137,Produits!A:G,3,FALSE)</f>
        <v>Kilogramme</v>
      </c>
      <c r="E137" s="93">
        <f>VLOOKUP(B137,Produits!A:G,7,FALSE)</f>
        <v>8.9</v>
      </c>
      <c r="F137" s="96">
        <f t="shared" si="16"/>
        <v>0.44500000000000006</v>
      </c>
    </row>
    <row r="138" spans="1:6" ht="17" x14ac:dyDescent="0.2">
      <c r="A138" s="1"/>
      <c r="B138" s="91" t="s">
        <v>86</v>
      </c>
      <c r="C138" s="104"/>
      <c r="D138" s="95"/>
      <c r="E138" s="95"/>
      <c r="F138" s="96">
        <f>SUM(F134:F137)</f>
        <v>1.7296833333333332</v>
      </c>
    </row>
    <row r="139" spans="1:6" x14ac:dyDescent="0.2">
      <c r="A139" s="1"/>
      <c r="B139" s="90" t="s">
        <v>138</v>
      </c>
      <c r="C139" s="6">
        <v>1</v>
      </c>
      <c r="D139" s="1"/>
      <c r="E139" s="1"/>
      <c r="F139" s="1"/>
    </row>
    <row r="140" spans="1:6" s="15" customFormat="1" x14ac:dyDescent="0.2">
      <c r="A140" s="1"/>
      <c r="B140" s="90" t="s">
        <v>129</v>
      </c>
      <c r="C140" s="105">
        <f>F138/C139</f>
        <v>1.7296833333333332</v>
      </c>
      <c r="D140" s="1"/>
      <c r="E140" s="1"/>
      <c r="F140" s="1"/>
    </row>
    <row r="142" spans="1:6" s="19" customFormat="1" x14ac:dyDescent="0.2">
      <c r="A142" s="12" t="s">
        <v>115</v>
      </c>
      <c r="B142" s="12" t="s">
        <v>109</v>
      </c>
      <c r="C142" s="13"/>
      <c r="D142" s="12"/>
      <c r="E142" s="14"/>
      <c r="F142" s="14"/>
    </row>
    <row r="143" spans="1:6" ht="17" x14ac:dyDescent="0.2">
      <c r="A143" s="12"/>
      <c r="B143" s="12"/>
      <c r="C143" s="88" t="s">
        <v>82</v>
      </c>
      <c r="D143" s="88" t="s">
        <v>83</v>
      </c>
      <c r="E143" s="88" t="s">
        <v>84</v>
      </c>
      <c r="F143" s="88" t="s">
        <v>85</v>
      </c>
    </row>
    <row r="144" spans="1:6" x14ac:dyDescent="0.2">
      <c r="A144" s="12"/>
      <c r="B144" s="2" t="s">
        <v>35</v>
      </c>
      <c r="C144" s="6">
        <v>0.2</v>
      </c>
      <c r="D144" s="3" t="str">
        <f>VLOOKUP(B144,Produits!A:G,3,FALSE)</f>
        <v>Litre</v>
      </c>
      <c r="E144" s="93">
        <f>VLOOKUP(B144,Produits!A:G,7,FALSE)</f>
        <v>3.72</v>
      </c>
      <c r="F144" s="96">
        <f t="shared" ref="F144:F151" si="17">E144*C144</f>
        <v>0.74400000000000011</v>
      </c>
    </row>
    <row r="145" spans="1:6" x14ac:dyDescent="0.2">
      <c r="A145" s="12"/>
      <c r="B145" s="2" t="s">
        <v>33</v>
      </c>
      <c r="C145" s="6">
        <v>0.4</v>
      </c>
      <c r="D145" s="3" t="str">
        <f>VLOOKUP(B145,Produits!A:G,3,FALSE)</f>
        <v>Kilogramme</v>
      </c>
      <c r="E145" s="93">
        <f>VLOOKUP(B145,Produits!A:G,7,FALSE)</f>
        <v>1.345</v>
      </c>
      <c r="F145" s="96">
        <f t="shared" si="17"/>
        <v>0.53800000000000003</v>
      </c>
    </row>
    <row r="146" spans="1:6" x14ac:dyDescent="0.2">
      <c r="A146" s="12"/>
      <c r="B146" s="2" t="s">
        <v>15</v>
      </c>
      <c r="C146" s="6">
        <v>0.01</v>
      </c>
      <c r="D146" s="3" t="str">
        <f>VLOOKUP(B146,Produits!A:G,3,FALSE)</f>
        <v>Kilogramme</v>
      </c>
      <c r="E146" s="93">
        <f>VLOOKUP(B146,Produits!A:G,7,FALSE)</f>
        <v>9.58</v>
      </c>
      <c r="F146" s="96">
        <f t="shared" ref="F146:F150" si="18">E146*C146</f>
        <v>9.5799999999999996E-2</v>
      </c>
    </row>
    <row r="147" spans="1:6" x14ac:dyDescent="0.2">
      <c r="A147" s="12"/>
      <c r="B147" s="2" t="s">
        <v>106</v>
      </c>
      <c r="C147" s="6">
        <v>1</v>
      </c>
      <c r="D147" s="3" t="str">
        <f>VLOOKUP(B147,Produits!A:G,3,FALSE)</f>
        <v>Litre</v>
      </c>
      <c r="E147" s="93">
        <f>VLOOKUP(B147,Produits!A:G,7,FALSE)</f>
        <v>4.49</v>
      </c>
      <c r="F147" s="96">
        <f t="shared" ref="F147" si="19">E147*C147</f>
        <v>4.49</v>
      </c>
    </row>
    <row r="148" spans="1:6" x14ac:dyDescent="0.2">
      <c r="A148" s="12"/>
      <c r="B148" s="2" t="s">
        <v>25</v>
      </c>
      <c r="C148" s="6">
        <v>0.01</v>
      </c>
      <c r="D148" s="3" t="str">
        <f>VLOOKUP(B148,Produits!A:G,3,FALSE)</f>
        <v>Kilogramme</v>
      </c>
      <c r="E148" s="93">
        <f>VLOOKUP(B148,Produits!A:G,7,FALSE)</f>
        <v>66.25</v>
      </c>
      <c r="F148" s="96">
        <f t="shared" ref="F148:F149" si="20">E148*C148</f>
        <v>0.66249999999999998</v>
      </c>
    </row>
    <row r="149" spans="1:6" x14ac:dyDescent="0.2">
      <c r="A149" s="12"/>
      <c r="B149" s="2" t="s">
        <v>18</v>
      </c>
      <c r="C149" s="6">
        <v>1.4999999999999999E-2</v>
      </c>
      <c r="D149" s="3" t="str">
        <f>VLOOKUP(B149,Produits!A:G,3,FALSE)</f>
        <v>Kilogramme</v>
      </c>
      <c r="E149" s="93">
        <f>VLOOKUP(B149,Produits!A:G,7,FALSE)</f>
        <v>50</v>
      </c>
      <c r="F149" s="96">
        <f t="shared" si="20"/>
        <v>0.75</v>
      </c>
    </row>
    <row r="150" spans="1:6" x14ac:dyDescent="0.2">
      <c r="A150" s="12"/>
      <c r="B150" s="2" t="s">
        <v>10</v>
      </c>
      <c r="C150" s="6">
        <v>0.05</v>
      </c>
      <c r="D150" s="3" t="str">
        <f>VLOOKUP(B150,Produits!A:G,3,FALSE)</f>
        <v>Kilogramme</v>
      </c>
      <c r="E150" s="93">
        <f>VLOOKUP(B150,Produits!A:G,7,FALSE)</f>
        <v>1.1000000000000001</v>
      </c>
      <c r="F150" s="96">
        <f t="shared" si="18"/>
        <v>5.5000000000000007E-2</v>
      </c>
    </row>
    <row r="151" spans="1:6" x14ac:dyDescent="0.2">
      <c r="A151" s="12"/>
      <c r="B151" s="2" t="s">
        <v>28</v>
      </c>
      <c r="C151" s="6">
        <v>0.05</v>
      </c>
      <c r="D151" s="3" t="str">
        <f>VLOOKUP(B151,Produits!A:G,3,FALSE)</f>
        <v>Kilogramme</v>
      </c>
      <c r="E151" s="93">
        <f>VLOOKUP(B151,Produits!A:G,7,FALSE)</f>
        <v>114.41176470588235</v>
      </c>
      <c r="F151" s="96">
        <f t="shared" si="17"/>
        <v>5.7205882352941178</v>
      </c>
    </row>
    <row r="152" spans="1:6" ht="17" x14ac:dyDescent="0.2">
      <c r="A152" s="12"/>
      <c r="B152" s="91" t="s">
        <v>86</v>
      </c>
      <c r="C152" s="104"/>
      <c r="D152" s="95"/>
      <c r="E152" s="95"/>
      <c r="F152" s="96">
        <f>SUM(F144:F151)</f>
        <v>13.055888235294118</v>
      </c>
    </row>
    <row r="153" spans="1:6" x14ac:dyDescent="0.2">
      <c r="A153" s="12"/>
      <c r="B153" s="90" t="s">
        <v>138</v>
      </c>
      <c r="C153" s="6">
        <v>25</v>
      </c>
      <c r="D153" s="12"/>
      <c r="E153" s="12"/>
      <c r="F153" s="12"/>
    </row>
    <row r="154" spans="1:6" s="15" customFormat="1" x14ac:dyDescent="0.2">
      <c r="A154" s="12"/>
      <c r="B154" s="90" t="s">
        <v>129</v>
      </c>
      <c r="C154" s="105">
        <f>F152/C153</f>
        <v>0.52223552941176477</v>
      </c>
      <c r="D154" s="12"/>
      <c r="E154" s="12"/>
      <c r="F154" s="12"/>
    </row>
    <row r="156" spans="1:6" s="19" customFormat="1" x14ac:dyDescent="0.2">
      <c r="A156" s="12" t="s">
        <v>115</v>
      </c>
      <c r="B156" s="12" t="s">
        <v>110</v>
      </c>
      <c r="C156" s="13"/>
      <c r="D156" s="12"/>
      <c r="E156" s="14"/>
      <c r="F156" s="14"/>
    </row>
    <row r="157" spans="1:6" ht="17" x14ac:dyDescent="0.2">
      <c r="A157" s="12"/>
      <c r="B157" s="12"/>
      <c r="C157" s="88" t="s">
        <v>82</v>
      </c>
      <c r="D157" s="88" t="s">
        <v>83</v>
      </c>
      <c r="E157" s="88" t="s">
        <v>84</v>
      </c>
      <c r="F157" s="88" t="s">
        <v>85</v>
      </c>
    </row>
    <row r="158" spans="1:6" x14ac:dyDescent="0.2">
      <c r="A158" s="12"/>
      <c r="B158" s="2" t="s">
        <v>111</v>
      </c>
      <c r="C158" s="6">
        <v>0.25</v>
      </c>
      <c r="D158" s="3" t="str">
        <f>VLOOKUP(B158,Produits!A:G,3,FALSE)</f>
        <v>Kilogramme</v>
      </c>
      <c r="E158" s="93">
        <f>VLOOKUP(B158,Produits!A:G,7,FALSE)</f>
        <v>5.16</v>
      </c>
      <c r="F158" s="96">
        <f t="shared" ref="F158:F160" si="21">E158*C158</f>
        <v>1.29</v>
      </c>
    </row>
    <row r="159" spans="1:6" x14ac:dyDescent="0.2">
      <c r="A159" s="12"/>
      <c r="B159" s="2" t="s">
        <v>15</v>
      </c>
      <c r="C159" s="6">
        <v>0.04</v>
      </c>
      <c r="D159" s="3" t="str">
        <f>VLOOKUP(B159,Produits!A:G,3,FALSE)</f>
        <v>Kilogramme</v>
      </c>
      <c r="E159" s="93">
        <f>VLOOKUP(B159,Produits!A:G,7,FALSE)</f>
        <v>9.58</v>
      </c>
      <c r="F159" s="96">
        <f t="shared" si="21"/>
        <v>0.38319999999999999</v>
      </c>
    </row>
    <row r="160" spans="1:6" x14ac:dyDescent="0.2">
      <c r="A160" s="12"/>
      <c r="B160" s="2" t="s">
        <v>16</v>
      </c>
      <c r="C160" s="6">
        <v>0.02</v>
      </c>
      <c r="D160" s="3" t="str">
        <f>VLOOKUP(B160,Produits!A:G,3,FALSE)</f>
        <v>Kilogramme</v>
      </c>
      <c r="E160" s="93">
        <f>VLOOKUP(B160,Produits!A:G,7,FALSE)</f>
        <v>8.18</v>
      </c>
      <c r="F160" s="96">
        <f t="shared" si="21"/>
        <v>0.1636</v>
      </c>
    </row>
    <row r="161" spans="1:6" ht="17" x14ac:dyDescent="0.2">
      <c r="A161" s="12"/>
      <c r="B161" s="91" t="s">
        <v>86</v>
      </c>
      <c r="C161" s="104"/>
      <c r="D161" s="95"/>
      <c r="E161" s="95"/>
      <c r="F161" s="96">
        <f>SUM(F158:F160)</f>
        <v>1.8368</v>
      </c>
    </row>
    <row r="162" spans="1:6" x14ac:dyDescent="0.2">
      <c r="A162" s="12"/>
      <c r="B162" s="90" t="s">
        <v>138</v>
      </c>
      <c r="C162" s="6">
        <v>20</v>
      </c>
      <c r="D162" s="12"/>
      <c r="E162" s="12"/>
      <c r="F162" s="12"/>
    </row>
    <row r="163" spans="1:6" s="15" customFormat="1" x14ac:dyDescent="0.2">
      <c r="A163" s="12"/>
      <c r="B163" s="90" t="s">
        <v>129</v>
      </c>
      <c r="C163" s="105">
        <f>F161/C162</f>
        <v>9.1840000000000005E-2</v>
      </c>
      <c r="D163" s="12"/>
      <c r="E163" s="12"/>
      <c r="F163" s="12"/>
    </row>
    <row r="165" spans="1:6" s="19" customFormat="1" x14ac:dyDescent="0.2">
      <c r="A165" s="1" t="s">
        <v>114</v>
      </c>
      <c r="B165" s="1" t="s">
        <v>108</v>
      </c>
      <c r="C165" s="10"/>
      <c r="D165" s="1"/>
      <c r="E165" s="7"/>
      <c r="F165" s="7"/>
    </row>
    <row r="166" spans="1:6" ht="17" x14ac:dyDescent="0.2">
      <c r="A166" s="1"/>
      <c r="B166" s="1"/>
      <c r="C166" s="88" t="s">
        <v>82</v>
      </c>
      <c r="D166" s="88" t="s">
        <v>83</v>
      </c>
      <c r="E166" s="88" t="s">
        <v>84</v>
      </c>
      <c r="F166" s="88" t="s">
        <v>85</v>
      </c>
    </row>
    <row r="167" spans="1:6" x14ac:dyDescent="0.2">
      <c r="A167" s="1"/>
      <c r="B167" s="2" t="s">
        <v>354</v>
      </c>
      <c r="C167" s="6">
        <v>1</v>
      </c>
      <c r="D167" s="3" t="str">
        <f>VLOOKUP(B167,Produits!A:G,3,FALSE)</f>
        <v>Pièce</v>
      </c>
      <c r="E167" s="93">
        <f>VLOOKUP(B167,Produits!A:G,7,FALSE)</f>
        <v>0.18046666666666666</v>
      </c>
      <c r="F167" s="96">
        <f>E167*C167</f>
        <v>0.18046666666666666</v>
      </c>
    </row>
    <row r="168" spans="1:6" x14ac:dyDescent="0.2">
      <c r="A168" s="1"/>
      <c r="B168" s="2" t="s">
        <v>109</v>
      </c>
      <c r="C168" s="6">
        <v>1</v>
      </c>
      <c r="D168" s="3" t="str">
        <f>VLOOKUP(B168,Produits!A:G,3,FALSE)</f>
        <v>Pièce</v>
      </c>
      <c r="E168" s="93">
        <f>VLOOKUP(B168,Produits!A:G,7,FALSE)</f>
        <v>0.52223552941176477</v>
      </c>
      <c r="F168" s="96">
        <f t="shared" ref="F168:F169" si="22">E168*C168</f>
        <v>0.52223552941176477</v>
      </c>
    </row>
    <row r="169" spans="1:6" x14ac:dyDescent="0.2">
      <c r="A169" s="1"/>
      <c r="B169" s="2" t="s">
        <v>110</v>
      </c>
      <c r="C169" s="6">
        <v>1</v>
      </c>
      <c r="D169" s="3" t="str">
        <f>VLOOKUP(B169,Produits!A:G,3,FALSE)</f>
        <v>Pièce</v>
      </c>
      <c r="E169" s="93">
        <f>VLOOKUP(B169,Produits!A:G,7,FALSE)</f>
        <v>9.1840000000000005E-2</v>
      </c>
      <c r="F169" s="96">
        <f t="shared" si="22"/>
        <v>9.1840000000000005E-2</v>
      </c>
    </row>
    <row r="170" spans="1:6" ht="17" x14ac:dyDescent="0.2">
      <c r="A170" s="1"/>
      <c r="B170" s="91" t="s">
        <v>86</v>
      </c>
      <c r="C170" s="104"/>
      <c r="D170" s="95"/>
      <c r="E170" s="95"/>
      <c r="F170" s="96">
        <f>SUM(F167:F169)</f>
        <v>0.79454219607843146</v>
      </c>
    </row>
    <row r="171" spans="1:6" x14ac:dyDescent="0.2">
      <c r="A171" s="1"/>
      <c r="B171" s="90" t="s">
        <v>138</v>
      </c>
      <c r="C171" s="6">
        <v>1</v>
      </c>
      <c r="D171" s="1"/>
      <c r="E171" s="1"/>
      <c r="F171" s="1"/>
    </row>
    <row r="172" spans="1:6" s="15" customFormat="1" x14ac:dyDescent="0.2">
      <c r="A172" s="1"/>
      <c r="B172" s="90" t="s">
        <v>129</v>
      </c>
      <c r="C172" s="105">
        <f>F170/C171</f>
        <v>0.79454219607843146</v>
      </c>
      <c r="D172" s="1"/>
      <c r="E172" s="1"/>
      <c r="F172" s="1"/>
    </row>
    <row r="174" spans="1:6" s="19" customFormat="1" x14ac:dyDescent="0.2">
      <c r="A174" s="16" t="s">
        <v>118</v>
      </c>
      <c r="B174" s="16" t="s">
        <v>116</v>
      </c>
      <c r="C174" s="17"/>
      <c r="D174" s="16"/>
      <c r="E174" s="18"/>
      <c r="F174" s="18"/>
    </row>
    <row r="175" spans="1:6" ht="17" x14ac:dyDescent="0.2">
      <c r="A175" s="16"/>
      <c r="B175" s="16"/>
      <c r="C175" s="88" t="s">
        <v>82</v>
      </c>
      <c r="D175" s="88" t="s">
        <v>83</v>
      </c>
      <c r="E175" s="88" t="s">
        <v>84</v>
      </c>
      <c r="F175" s="88" t="s">
        <v>85</v>
      </c>
    </row>
    <row r="176" spans="1:6" x14ac:dyDescent="0.2">
      <c r="A176" s="16"/>
      <c r="B176" s="2" t="s">
        <v>117</v>
      </c>
      <c r="C176" s="6">
        <v>0.04</v>
      </c>
      <c r="D176" s="3" t="str">
        <f>VLOOKUP(B176,Produits!A:G,3,FALSE)</f>
        <v>Litre</v>
      </c>
      <c r="E176" s="93">
        <f>VLOOKUP(B176,Produits!A:G,7,FALSE)</f>
        <v>10.5</v>
      </c>
      <c r="F176" s="96">
        <f>E176*C176</f>
        <v>0.42</v>
      </c>
    </row>
    <row r="177" spans="1:6" x14ac:dyDescent="0.2">
      <c r="A177" s="16"/>
      <c r="B177" s="2" t="s">
        <v>119</v>
      </c>
      <c r="C177" s="6">
        <v>0.16</v>
      </c>
      <c r="D177" s="3" t="str">
        <f>VLOOKUP(B177,Produits!A:G,3,FALSE)</f>
        <v>Litre</v>
      </c>
      <c r="E177" s="93">
        <f>VLOOKUP(B177,Produits!A:G,7,FALSE)</f>
        <v>2.52</v>
      </c>
      <c r="F177" s="96">
        <f t="shared" ref="F177" si="23">E177*C177</f>
        <v>0.4032</v>
      </c>
    </row>
    <row r="178" spans="1:6" ht="17" x14ac:dyDescent="0.2">
      <c r="A178" s="16"/>
      <c r="B178" s="91" t="s">
        <v>86</v>
      </c>
      <c r="C178" s="104"/>
      <c r="D178" s="95"/>
      <c r="E178" s="95"/>
      <c r="F178" s="96">
        <f>SUM(F175:F177)</f>
        <v>0.82319999999999993</v>
      </c>
    </row>
    <row r="179" spans="1:6" x14ac:dyDescent="0.2">
      <c r="A179" s="16"/>
      <c r="B179" s="90" t="s">
        <v>138</v>
      </c>
      <c r="C179" s="6">
        <v>1</v>
      </c>
      <c r="D179" s="16"/>
      <c r="E179" s="16"/>
      <c r="F179" s="16"/>
    </row>
    <row r="180" spans="1:6" s="15" customFormat="1" x14ac:dyDescent="0.2">
      <c r="A180" s="16"/>
      <c r="B180" s="90" t="s">
        <v>129</v>
      </c>
      <c r="C180" s="105">
        <f>F178/C179</f>
        <v>0.82319999999999993</v>
      </c>
      <c r="D180" s="16"/>
      <c r="E180" s="16"/>
      <c r="F180" s="16"/>
    </row>
    <row r="182" spans="1:6" s="19" customFormat="1" x14ac:dyDescent="0.2">
      <c r="A182" s="16" t="s">
        <v>118</v>
      </c>
      <c r="B182" s="16" t="s">
        <v>120</v>
      </c>
      <c r="C182" s="17"/>
      <c r="D182" s="16"/>
      <c r="E182" s="18"/>
      <c r="F182" s="18"/>
    </row>
    <row r="183" spans="1:6" ht="17" x14ac:dyDescent="0.2">
      <c r="A183" s="16"/>
      <c r="B183" s="16"/>
      <c r="C183" s="88" t="s">
        <v>82</v>
      </c>
      <c r="D183" s="88" t="s">
        <v>83</v>
      </c>
      <c r="E183" s="88" t="s">
        <v>84</v>
      </c>
      <c r="F183" s="88" t="s">
        <v>85</v>
      </c>
    </row>
    <row r="184" spans="1:6" x14ac:dyDescent="0.2">
      <c r="A184" s="16"/>
      <c r="B184" s="2" t="s">
        <v>117</v>
      </c>
      <c r="C184" s="6">
        <v>0.04</v>
      </c>
      <c r="D184" s="3" t="str">
        <f>VLOOKUP(B184,Produits!A:G,3,FALSE)</f>
        <v>Litre</v>
      </c>
      <c r="E184" s="93">
        <f>VLOOKUP(B184,Produits!A:G,7,FALSE)</f>
        <v>10.5</v>
      </c>
      <c r="F184" s="96">
        <f>E184*C184</f>
        <v>0.42</v>
      </c>
    </row>
    <row r="185" spans="1:6" x14ac:dyDescent="0.2">
      <c r="A185" s="16"/>
      <c r="B185" s="2" t="s">
        <v>35</v>
      </c>
      <c r="C185" s="6">
        <v>0.16</v>
      </c>
      <c r="D185" s="3" t="str">
        <f>VLOOKUP(B185,Produits!A:G,3,FALSE)</f>
        <v>Litre</v>
      </c>
      <c r="E185" s="93">
        <f>VLOOKUP(B185,Produits!A:G,7,FALSE)</f>
        <v>3.72</v>
      </c>
      <c r="F185" s="96">
        <f t="shared" ref="F185" si="24">E185*C185</f>
        <v>0.59520000000000006</v>
      </c>
    </row>
    <row r="186" spans="1:6" ht="17" x14ac:dyDescent="0.2">
      <c r="A186" s="16"/>
      <c r="B186" s="91" t="s">
        <v>86</v>
      </c>
      <c r="C186" s="104"/>
      <c r="D186" s="95"/>
      <c r="E186" s="95"/>
      <c r="F186" s="96">
        <f>SUM(F183:F185)</f>
        <v>1.0152000000000001</v>
      </c>
    </row>
    <row r="187" spans="1:6" x14ac:dyDescent="0.2">
      <c r="A187" s="16"/>
      <c r="B187" s="90" t="s">
        <v>138</v>
      </c>
      <c r="C187" s="6">
        <v>1</v>
      </c>
      <c r="D187" s="16"/>
      <c r="E187" s="16"/>
      <c r="F187" s="16"/>
    </row>
    <row r="188" spans="1:6" s="15" customFormat="1" x14ac:dyDescent="0.2">
      <c r="A188" s="16"/>
      <c r="B188" s="90" t="s">
        <v>129</v>
      </c>
      <c r="C188" s="105">
        <f>F186/C187</f>
        <v>1.0152000000000001</v>
      </c>
      <c r="D188" s="16"/>
      <c r="E188" s="16"/>
      <c r="F188" s="16"/>
    </row>
    <row r="190" spans="1:6" s="19" customFormat="1" x14ac:dyDescent="0.2">
      <c r="A190" s="16" t="s">
        <v>118</v>
      </c>
      <c r="B190" s="16" t="s">
        <v>126</v>
      </c>
      <c r="C190" s="17"/>
      <c r="D190" s="16"/>
      <c r="E190" s="18"/>
      <c r="F190" s="18"/>
    </row>
    <row r="191" spans="1:6" ht="17" x14ac:dyDescent="0.2">
      <c r="A191" s="16"/>
      <c r="B191" s="16"/>
      <c r="C191" s="88" t="s">
        <v>82</v>
      </c>
      <c r="D191" s="88" t="s">
        <v>83</v>
      </c>
      <c r="E191" s="88" t="s">
        <v>84</v>
      </c>
      <c r="F191" s="88" t="s">
        <v>85</v>
      </c>
    </row>
    <row r="192" spans="1:6" x14ac:dyDescent="0.2">
      <c r="A192" s="16"/>
      <c r="B192" s="2" t="s">
        <v>37</v>
      </c>
      <c r="C192" s="6">
        <v>0.2</v>
      </c>
      <c r="D192" s="3" t="str">
        <f>VLOOKUP(B192,Produits!A:G,3,FALSE)</f>
        <v>Litre</v>
      </c>
      <c r="E192" s="93">
        <f>VLOOKUP(B192,Produits!A:G,7,FALSE)</f>
        <v>2.6666666666666665</v>
      </c>
      <c r="F192" s="96">
        <f>E192*C192</f>
        <v>0.53333333333333333</v>
      </c>
    </row>
    <row r="193" spans="1:6" ht="17" x14ac:dyDescent="0.2">
      <c r="A193" s="16"/>
      <c r="B193" s="91" t="s">
        <v>86</v>
      </c>
      <c r="C193" s="104"/>
      <c r="D193" s="95"/>
      <c r="E193" s="95"/>
      <c r="F193" s="96">
        <f>SUM(F191:F192)</f>
        <v>0.53333333333333333</v>
      </c>
    </row>
    <row r="194" spans="1:6" x14ac:dyDescent="0.2">
      <c r="A194" s="16"/>
      <c r="B194" s="90" t="s">
        <v>138</v>
      </c>
      <c r="C194" s="6">
        <v>1</v>
      </c>
      <c r="D194" s="16"/>
      <c r="E194" s="16"/>
      <c r="F194" s="16"/>
    </row>
    <row r="195" spans="1:6" s="15" customFormat="1" x14ac:dyDescent="0.2">
      <c r="A195" s="16"/>
      <c r="B195" s="90" t="s">
        <v>129</v>
      </c>
      <c r="C195" s="105">
        <f>F193/C194</f>
        <v>0.53333333333333333</v>
      </c>
      <c r="D195" s="16"/>
      <c r="E195" s="16"/>
      <c r="F195" s="16"/>
    </row>
    <row r="197" spans="1:6" s="19" customFormat="1" x14ac:dyDescent="0.2">
      <c r="A197" s="16" t="s">
        <v>131</v>
      </c>
      <c r="B197" s="16" t="s">
        <v>121</v>
      </c>
      <c r="C197" s="17"/>
      <c r="D197" s="16"/>
      <c r="E197" s="18"/>
      <c r="F197" s="18"/>
    </row>
    <row r="198" spans="1:6" ht="17" x14ac:dyDescent="0.2">
      <c r="A198" s="16"/>
      <c r="B198" s="16"/>
      <c r="C198" s="88" t="s">
        <v>82</v>
      </c>
      <c r="D198" s="88" t="s">
        <v>83</v>
      </c>
      <c r="E198" s="88" t="s">
        <v>84</v>
      </c>
      <c r="F198" s="88" t="s">
        <v>85</v>
      </c>
    </row>
    <row r="199" spans="1:6" x14ac:dyDescent="0.2">
      <c r="A199" s="16"/>
      <c r="B199" s="2" t="s">
        <v>39</v>
      </c>
      <c r="C199" s="6">
        <v>0.2</v>
      </c>
      <c r="D199" s="3" t="str">
        <f>VLOOKUP(B199,Produits!A:G,3,FALSE)</f>
        <v>Litre</v>
      </c>
      <c r="E199" s="93">
        <f>VLOOKUP(B199,Produits!A:G,7,FALSE)</f>
        <v>2.59</v>
      </c>
      <c r="F199" s="96">
        <f>E199*C199</f>
        <v>0.51800000000000002</v>
      </c>
    </row>
    <row r="200" spans="1:6" x14ac:dyDescent="0.2">
      <c r="A200" s="16"/>
      <c r="B200" s="2" t="s">
        <v>40</v>
      </c>
      <c r="C200" s="6">
        <v>0.2</v>
      </c>
      <c r="D200" s="3" t="str">
        <f>VLOOKUP(B200,Produits!A:G,3,FALSE)</f>
        <v>Litre</v>
      </c>
      <c r="E200" s="93">
        <f>VLOOKUP(B200,Produits!A:G,7,FALSE)</f>
        <v>3.55</v>
      </c>
      <c r="F200" s="96">
        <f t="shared" ref="F200" si="25">E200*C200</f>
        <v>0.71</v>
      </c>
    </row>
    <row r="201" spans="1:6" x14ac:dyDescent="0.2">
      <c r="A201" s="16"/>
      <c r="B201" s="2" t="s">
        <v>41</v>
      </c>
      <c r="C201" s="6">
        <v>0.2</v>
      </c>
      <c r="D201" s="3" t="str">
        <f>VLOOKUP(B201,Produits!A:G,3,FALSE)</f>
        <v>Litre</v>
      </c>
      <c r="E201" s="93">
        <f>VLOOKUP(B201,Produits!A:G,7,FALSE)</f>
        <v>5.0714285714285712</v>
      </c>
      <c r="F201" s="96">
        <f t="shared" ref="F201" si="26">E201*C201</f>
        <v>1.0142857142857142</v>
      </c>
    </row>
    <row r="202" spans="1:6" ht="17" x14ac:dyDescent="0.2">
      <c r="A202" s="16"/>
      <c r="B202" s="91" t="s">
        <v>86</v>
      </c>
      <c r="C202" s="104"/>
      <c r="D202" s="95"/>
      <c r="E202" s="95"/>
      <c r="F202" s="96">
        <f>SUM(F198:F201)</f>
        <v>2.242285714285714</v>
      </c>
    </row>
    <row r="203" spans="1:6" x14ac:dyDescent="0.2">
      <c r="A203" s="16"/>
      <c r="B203" s="90" t="s">
        <v>138</v>
      </c>
      <c r="C203" s="6">
        <v>3</v>
      </c>
      <c r="D203" s="16"/>
      <c r="E203" s="16"/>
      <c r="F203" s="16"/>
    </row>
    <row r="204" spans="1:6" s="15" customFormat="1" x14ac:dyDescent="0.2">
      <c r="A204" s="16"/>
      <c r="B204" s="90" t="s">
        <v>129</v>
      </c>
      <c r="C204" s="105">
        <f>F202/C203</f>
        <v>0.74742857142857133</v>
      </c>
      <c r="D204" s="16"/>
      <c r="E204" s="16"/>
      <c r="F204" s="16"/>
    </row>
    <row r="206" spans="1:6" s="19" customFormat="1" x14ac:dyDescent="0.2">
      <c r="A206" s="16" t="s">
        <v>131</v>
      </c>
      <c r="B206" s="16" t="s">
        <v>122</v>
      </c>
      <c r="C206" s="17"/>
      <c r="D206" s="16"/>
      <c r="E206" s="18"/>
      <c r="F206" s="18"/>
    </row>
    <row r="207" spans="1:6" ht="17" x14ac:dyDescent="0.2">
      <c r="A207" s="16"/>
      <c r="B207" s="16"/>
      <c r="C207" s="88" t="s">
        <v>82</v>
      </c>
      <c r="D207" s="88" t="s">
        <v>83</v>
      </c>
      <c r="E207" s="88" t="s">
        <v>84</v>
      </c>
      <c r="F207" s="88" t="s">
        <v>85</v>
      </c>
    </row>
    <row r="208" spans="1:6" x14ac:dyDescent="0.2">
      <c r="A208" s="16"/>
      <c r="B208" s="2" t="s">
        <v>127</v>
      </c>
      <c r="C208" s="6">
        <v>2.5000000000000001E-2</v>
      </c>
      <c r="D208" s="3" t="str">
        <f>VLOOKUP(B208,Produits!A:G,3,FALSE)</f>
        <v>Litre</v>
      </c>
      <c r="E208" s="93">
        <f>VLOOKUP(B208,Produits!A:G,7,FALSE)</f>
        <v>2.52</v>
      </c>
      <c r="F208" s="96">
        <f>E208*C208</f>
        <v>6.3E-2</v>
      </c>
    </row>
    <row r="209" spans="1:6" ht="17" x14ac:dyDescent="0.2">
      <c r="A209" s="16"/>
      <c r="B209" s="91" t="s">
        <v>86</v>
      </c>
      <c r="C209" s="104"/>
      <c r="D209" s="95"/>
      <c r="E209" s="95"/>
      <c r="F209" s="96">
        <f>SUM(F207:F208)</f>
        <v>6.3E-2</v>
      </c>
    </row>
    <row r="210" spans="1:6" x14ac:dyDescent="0.2">
      <c r="A210" s="16"/>
      <c r="B210" s="90" t="s">
        <v>138</v>
      </c>
      <c r="C210" s="6">
        <v>1</v>
      </c>
      <c r="D210" s="16"/>
      <c r="E210" s="16"/>
      <c r="F210" s="16"/>
    </row>
    <row r="211" spans="1:6" s="15" customFormat="1" x14ac:dyDescent="0.2">
      <c r="A211" s="16"/>
      <c r="B211" s="90" t="s">
        <v>129</v>
      </c>
      <c r="C211" s="105">
        <f>F209/C210</f>
        <v>6.3E-2</v>
      </c>
      <c r="D211" s="16"/>
      <c r="E211" s="16"/>
      <c r="F211" s="16"/>
    </row>
    <row r="213" spans="1:6" s="19" customFormat="1" x14ac:dyDescent="0.2">
      <c r="A213" s="16" t="s">
        <v>131</v>
      </c>
      <c r="B213" s="16" t="s">
        <v>380</v>
      </c>
      <c r="C213" s="17"/>
      <c r="D213" s="16"/>
      <c r="E213" s="18"/>
      <c r="F213" s="18"/>
    </row>
    <row r="214" spans="1:6" ht="17" x14ac:dyDescent="0.2">
      <c r="A214" s="16"/>
      <c r="B214" s="16"/>
      <c r="C214" s="88" t="s">
        <v>82</v>
      </c>
      <c r="D214" s="88" t="s">
        <v>83</v>
      </c>
      <c r="E214" s="88" t="s">
        <v>84</v>
      </c>
      <c r="F214" s="88" t="s">
        <v>85</v>
      </c>
    </row>
    <row r="215" spans="1:6" x14ac:dyDescent="0.2">
      <c r="A215" s="16"/>
      <c r="B215" s="2" t="s">
        <v>43</v>
      </c>
      <c r="C215" s="6">
        <v>0.2</v>
      </c>
      <c r="D215" s="3" t="str">
        <f>VLOOKUP(B215,Produits!A:G,3,FALSE)</f>
        <v>Litre</v>
      </c>
      <c r="E215" s="93">
        <f>VLOOKUP(B215,Produits!A:G,7,FALSE)</f>
        <v>1.1666666666666667</v>
      </c>
      <c r="F215" s="96">
        <f>E215*C215</f>
        <v>0.23333333333333336</v>
      </c>
    </row>
    <row r="216" spans="1:6" ht="17" x14ac:dyDescent="0.2">
      <c r="A216" s="16"/>
      <c r="B216" s="91" t="s">
        <v>86</v>
      </c>
      <c r="C216" s="104"/>
      <c r="D216" s="95"/>
      <c r="E216" s="95"/>
      <c r="F216" s="96">
        <f>SUM(F214:F215)</f>
        <v>0.23333333333333336</v>
      </c>
    </row>
    <row r="217" spans="1:6" x14ac:dyDescent="0.2">
      <c r="A217" s="16"/>
      <c r="B217" s="90" t="s">
        <v>138</v>
      </c>
      <c r="C217" s="6">
        <v>1</v>
      </c>
      <c r="D217" s="16"/>
      <c r="E217" s="16"/>
      <c r="F217" s="16"/>
    </row>
    <row r="218" spans="1:6" s="15" customFormat="1" x14ac:dyDescent="0.2">
      <c r="A218" s="16"/>
      <c r="B218" s="90" t="s">
        <v>129</v>
      </c>
      <c r="C218" s="105">
        <f>F216/C217</f>
        <v>0.23333333333333336</v>
      </c>
      <c r="D218" s="16"/>
      <c r="E218" s="16"/>
      <c r="F218" s="16"/>
    </row>
    <row r="220" spans="1:6" s="19" customFormat="1" x14ac:dyDescent="0.2">
      <c r="A220" s="16" t="s">
        <v>131</v>
      </c>
      <c r="B220" s="16" t="s">
        <v>123</v>
      </c>
      <c r="C220" s="17"/>
      <c r="D220" s="16"/>
      <c r="E220" s="18"/>
      <c r="F220" s="18"/>
    </row>
    <row r="221" spans="1:6" ht="17" x14ac:dyDescent="0.2">
      <c r="A221" s="16"/>
      <c r="B221" s="16"/>
      <c r="C221" s="88" t="s">
        <v>82</v>
      </c>
      <c r="D221" s="88" t="s">
        <v>83</v>
      </c>
      <c r="E221" s="88" t="s">
        <v>84</v>
      </c>
      <c r="F221" s="88" t="s">
        <v>85</v>
      </c>
    </row>
    <row r="222" spans="1:6" x14ac:dyDescent="0.2">
      <c r="A222" s="16"/>
      <c r="B222" s="2" t="s">
        <v>8</v>
      </c>
      <c r="C222" s="6">
        <v>0.2</v>
      </c>
      <c r="D222" s="3" t="str">
        <f>VLOOKUP(B222,Produits!A:G,3,FALSE)</f>
        <v>Litre</v>
      </c>
      <c r="E222" s="93">
        <f>VLOOKUP(B222,Produits!A:G,7,FALSE)</f>
        <v>1.46</v>
      </c>
      <c r="F222" s="96">
        <f>E222*C222</f>
        <v>0.29199999999999998</v>
      </c>
    </row>
    <row r="223" spans="1:6" ht="17" x14ac:dyDescent="0.2">
      <c r="A223" s="16"/>
      <c r="B223" s="91" t="s">
        <v>86</v>
      </c>
      <c r="C223" s="104"/>
      <c r="D223" s="95"/>
      <c r="E223" s="95"/>
      <c r="F223" s="96">
        <f>SUM(F221:F222)</f>
        <v>0.29199999999999998</v>
      </c>
    </row>
    <row r="224" spans="1:6" x14ac:dyDescent="0.2">
      <c r="A224" s="16"/>
      <c r="B224" s="90" t="s">
        <v>138</v>
      </c>
      <c r="C224" s="6">
        <v>1</v>
      </c>
      <c r="D224" s="16"/>
      <c r="E224" s="16"/>
      <c r="F224" s="16"/>
    </row>
    <row r="225" spans="1:6" s="15" customFormat="1" x14ac:dyDescent="0.2">
      <c r="A225" s="16"/>
      <c r="B225" s="90" t="s">
        <v>129</v>
      </c>
      <c r="C225" s="105">
        <f>F223/C224</f>
        <v>0.29199999999999998</v>
      </c>
      <c r="D225" s="16"/>
      <c r="E225" s="16"/>
      <c r="F225" s="16"/>
    </row>
    <row r="227" spans="1:6" s="19" customFormat="1" x14ac:dyDescent="0.2">
      <c r="A227" s="16" t="s">
        <v>131</v>
      </c>
      <c r="B227" s="16" t="s">
        <v>124</v>
      </c>
      <c r="C227" s="17"/>
      <c r="D227" s="16"/>
      <c r="E227" s="18"/>
      <c r="F227" s="18"/>
    </row>
    <row r="228" spans="1:6" ht="17" x14ac:dyDescent="0.2">
      <c r="A228" s="16"/>
      <c r="B228" s="16"/>
      <c r="C228" s="88" t="s">
        <v>82</v>
      </c>
      <c r="D228" s="88" t="s">
        <v>83</v>
      </c>
      <c r="E228" s="88" t="s">
        <v>84</v>
      </c>
      <c r="F228" s="88" t="s">
        <v>85</v>
      </c>
    </row>
    <row r="229" spans="1:6" x14ac:dyDescent="0.2">
      <c r="A229" s="16"/>
      <c r="B229" s="2" t="s">
        <v>42</v>
      </c>
      <c r="C229" s="6">
        <v>0.03</v>
      </c>
      <c r="D229" s="3" t="str">
        <f>VLOOKUP(B229,Produits!A:G,3,FALSE)</f>
        <v>Litre</v>
      </c>
      <c r="E229" s="93">
        <f>VLOOKUP(B229,Produits!A:G,7,FALSE)</f>
        <v>5.0714285714285712</v>
      </c>
      <c r="F229" s="96">
        <f>E229*C229</f>
        <v>0.15214285714285714</v>
      </c>
    </row>
    <row r="230" spans="1:6" x14ac:dyDescent="0.2">
      <c r="A230" s="16"/>
      <c r="B230" s="2" t="s">
        <v>8</v>
      </c>
      <c r="C230" s="6">
        <v>0.2</v>
      </c>
      <c r="D230" s="3" t="str">
        <f>VLOOKUP(B230,Produits!A:G,3,FALSE)</f>
        <v>Litre</v>
      </c>
      <c r="E230" s="93">
        <f>VLOOKUP(B230,Produits!A:G,7,FALSE)</f>
        <v>1.46</v>
      </c>
      <c r="F230" s="96">
        <f>E230*C230</f>
        <v>0.29199999999999998</v>
      </c>
    </row>
    <row r="231" spans="1:6" ht="17" x14ac:dyDescent="0.2">
      <c r="A231" s="16"/>
      <c r="B231" s="91" t="s">
        <v>86</v>
      </c>
      <c r="C231" s="104"/>
      <c r="D231" s="95"/>
      <c r="E231" s="95"/>
      <c r="F231" s="96">
        <f>SUM(F228:F230)</f>
        <v>0.44414285714285712</v>
      </c>
    </row>
    <row r="232" spans="1:6" x14ac:dyDescent="0.2">
      <c r="A232" s="16"/>
      <c r="B232" s="90" t="s">
        <v>138</v>
      </c>
      <c r="C232" s="6">
        <v>1</v>
      </c>
      <c r="D232" s="16"/>
      <c r="E232" s="16"/>
      <c r="F232" s="16"/>
    </row>
    <row r="233" spans="1:6" s="15" customFormat="1" x14ac:dyDescent="0.2">
      <c r="A233" s="16"/>
      <c r="B233" s="90" t="s">
        <v>129</v>
      </c>
      <c r="C233" s="105">
        <f>F231/C232</f>
        <v>0.44414285714285712</v>
      </c>
      <c r="D233" s="16"/>
      <c r="E233" s="16"/>
      <c r="F233" s="16"/>
    </row>
    <row r="235" spans="1:6" s="19" customFormat="1" x14ac:dyDescent="0.2">
      <c r="A235" s="16" t="s">
        <v>131</v>
      </c>
      <c r="B235" s="16" t="s">
        <v>125</v>
      </c>
      <c r="C235" s="17"/>
      <c r="D235" s="16"/>
      <c r="E235" s="18"/>
      <c r="F235" s="18"/>
    </row>
    <row r="236" spans="1:6" ht="17" x14ac:dyDescent="0.2">
      <c r="A236" s="16"/>
      <c r="B236" s="16"/>
      <c r="C236" s="88" t="s">
        <v>82</v>
      </c>
      <c r="D236" s="88" t="s">
        <v>83</v>
      </c>
      <c r="E236" s="88" t="s">
        <v>84</v>
      </c>
      <c r="F236" s="88" t="s">
        <v>85</v>
      </c>
    </row>
    <row r="237" spans="1:6" x14ac:dyDescent="0.2">
      <c r="A237" s="16"/>
      <c r="B237" s="2" t="s">
        <v>119</v>
      </c>
      <c r="C237" s="6">
        <v>2.5000000000000001E-2</v>
      </c>
      <c r="D237" s="3" t="str">
        <f>VLOOKUP(B237,Produits!A:G,3,FALSE)</f>
        <v>Litre</v>
      </c>
      <c r="E237" s="93">
        <f>VLOOKUP(B237,Produits!A:G,7,FALSE)</f>
        <v>2.52</v>
      </c>
      <c r="F237" s="96">
        <f>E237*C237</f>
        <v>6.3E-2</v>
      </c>
    </row>
    <row r="238" spans="1:6" ht="17" x14ac:dyDescent="0.2">
      <c r="A238" s="16"/>
      <c r="B238" s="91" t="s">
        <v>86</v>
      </c>
      <c r="C238" s="104"/>
      <c r="D238" s="95"/>
      <c r="E238" s="95"/>
      <c r="F238" s="96">
        <f>SUM(F236:F237)</f>
        <v>6.3E-2</v>
      </c>
    </row>
    <row r="239" spans="1:6" x14ac:dyDescent="0.2">
      <c r="A239" s="16"/>
      <c r="B239" s="90" t="s">
        <v>138</v>
      </c>
      <c r="C239" s="6">
        <v>1</v>
      </c>
      <c r="D239" s="16"/>
      <c r="E239" s="16"/>
      <c r="F239" s="16"/>
    </row>
    <row r="240" spans="1:6" s="15" customFormat="1" x14ac:dyDescent="0.2">
      <c r="A240" s="16"/>
      <c r="B240" s="90" t="s">
        <v>129</v>
      </c>
      <c r="C240" s="105">
        <f>F238/C239</f>
        <v>6.3E-2</v>
      </c>
      <c r="D240" s="16"/>
      <c r="E240" s="16"/>
      <c r="F240" s="16"/>
    </row>
    <row r="242" spans="1:6" s="19" customFormat="1" x14ac:dyDescent="0.2">
      <c r="A242" s="74" t="s">
        <v>154</v>
      </c>
      <c r="B242" s="74" t="s">
        <v>157</v>
      </c>
      <c r="C242" s="75"/>
      <c r="D242" s="74"/>
      <c r="E242" s="76"/>
      <c r="F242" s="76"/>
    </row>
    <row r="243" spans="1:6" ht="17" x14ac:dyDescent="0.2">
      <c r="A243" s="76"/>
      <c r="B243" s="76"/>
      <c r="C243" s="88" t="s">
        <v>82</v>
      </c>
      <c r="D243" s="88" t="s">
        <v>83</v>
      </c>
      <c r="E243" s="88" t="s">
        <v>84</v>
      </c>
      <c r="F243" s="88" t="s">
        <v>85</v>
      </c>
    </row>
    <row r="244" spans="1:6" x14ac:dyDescent="0.2">
      <c r="A244" s="76"/>
      <c r="B244" s="2" t="s">
        <v>355</v>
      </c>
      <c r="C244" s="6">
        <v>1</v>
      </c>
      <c r="D244" s="3" t="str">
        <f>VLOOKUP(B244,Produits!A:G,3,FALSE)</f>
        <v>Pièce</v>
      </c>
      <c r="E244" s="93">
        <f>VLOOKUP(B244,Produits!A:G,7,FALSE)</f>
        <v>0.19722499999999998</v>
      </c>
      <c r="F244" s="96">
        <f>E244*C244</f>
        <v>0.19722499999999998</v>
      </c>
    </row>
    <row r="245" spans="1:6" x14ac:dyDescent="0.2">
      <c r="A245" s="76"/>
      <c r="B245" s="2" t="s">
        <v>15</v>
      </c>
      <c r="C245" s="6">
        <v>0.02</v>
      </c>
      <c r="D245" s="3" t="str">
        <f>VLOOKUP(B245,Produits!A:G,3,FALSE)</f>
        <v>Kilogramme</v>
      </c>
      <c r="E245" s="93">
        <f>VLOOKUP(B245,Produits!A:G,7,FALSE)</f>
        <v>9.58</v>
      </c>
      <c r="F245" s="96">
        <f t="shared" ref="F245" si="27">E245*C245</f>
        <v>0.19159999999999999</v>
      </c>
    </row>
    <row r="246" spans="1:6" ht="17" x14ac:dyDescent="0.2">
      <c r="A246" s="76"/>
      <c r="B246" s="91" t="s">
        <v>86</v>
      </c>
      <c r="C246" s="104"/>
      <c r="D246" s="95"/>
      <c r="E246" s="95"/>
      <c r="F246" s="96">
        <f>SUM(F243:F245)</f>
        <v>0.38882499999999998</v>
      </c>
    </row>
    <row r="247" spans="1:6" x14ac:dyDescent="0.2">
      <c r="A247" s="76"/>
      <c r="B247" s="90" t="s">
        <v>138</v>
      </c>
      <c r="C247" s="6">
        <v>1</v>
      </c>
      <c r="D247" s="76"/>
      <c r="E247" s="76"/>
      <c r="F247" s="76"/>
    </row>
    <row r="248" spans="1:6" s="15" customFormat="1" x14ac:dyDescent="0.2">
      <c r="A248" s="76"/>
      <c r="B248" s="90" t="s">
        <v>129</v>
      </c>
      <c r="C248" s="105">
        <f>F246/C247</f>
        <v>0.38882499999999998</v>
      </c>
      <c r="D248" s="76"/>
      <c r="E248" s="76"/>
      <c r="F248" s="76"/>
    </row>
    <row r="250" spans="1:6" s="19" customFormat="1" x14ac:dyDescent="0.2">
      <c r="A250" s="74" t="s">
        <v>154</v>
      </c>
      <c r="B250" s="74" t="s">
        <v>158</v>
      </c>
      <c r="C250" s="75"/>
      <c r="D250" s="74"/>
      <c r="E250" s="76"/>
      <c r="F250" s="76"/>
    </row>
    <row r="251" spans="1:6" ht="17" x14ac:dyDescent="0.2">
      <c r="A251" s="76"/>
      <c r="B251" s="76"/>
      <c r="C251" s="88" t="s">
        <v>82</v>
      </c>
      <c r="D251" s="88" t="s">
        <v>83</v>
      </c>
      <c r="E251" s="88" t="s">
        <v>84</v>
      </c>
      <c r="F251" s="88" t="s">
        <v>85</v>
      </c>
    </row>
    <row r="252" spans="1:6" x14ac:dyDescent="0.2">
      <c r="A252" s="76"/>
      <c r="B252" s="2" t="s">
        <v>355</v>
      </c>
      <c r="C252" s="6">
        <v>1</v>
      </c>
      <c r="D252" s="3" t="str">
        <f>VLOOKUP(B252,Produits!A:G,3,FALSE)</f>
        <v>Pièce</v>
      </c>
      <c r="E252" s="93">
        <f>VLOOKUP(B252,Produits!A:G,7,FALSE)</f>
        <v>0.19722499999999998</v>
      </c>
      <c r="F252" s="96">
        <f>E252*C252</f>
        <v>0.19722499999999998</v>
      </c>
    </row>
    <row r="253" spans="1:6" x14ac:dyDescent="0.2">
      <c r="A253" s="76"/>
      <c r="B253" s="2" t="s">
        <v>15</v>
      </c>
      <c r="C253" s="6">
        <v>0.02</v>
      </c>
      <c r="D253" s="3" t="str">
        <f>VLOOKUP(B253,Produits!A:G,3,FALSE)</f>
        <v>Kilogramme</v>
      </c>
      <c r="E253" s="93">
        <f>VLOOKUP(B253,Produits!A:G,7,FALSE)</f>
        <v>9.58</v>
      </c>
      <c r="F253" s="96">
        <f t="shared" ref="F253:F254" si="28">E253*C253</f>
        <v>0.19159999999999999</v>
      </c>
    </row>
    <row r="254" spans="1:6" x14ac:dyDescent="0.2">
      <c r="A254" s="76"/>
      <c r="B254" s="2" t="s">
        <v>65</v>
      </c>
      <c r="C254" s="6">
        <v>0.02</v>
      </c>
      <c r="D254" s="3" t="str">
        <f>VLOOKUP(B254,Produits!A:G,3,FALSE)</f>
        <v>Kilogramme</v>
      </c>
      <c r="E254" s="93">
        <f>VLOOKUP(B254,Produits!A:G,7,FALSE)</f>
        <v>1.85</v>
      </c>
      <c r="F254" s="96">
        <f t="shared" si="28"/>
        <v>3.7000000000000005E-2</v>
      </c>
    </row>
    <row r="255" spans="1:6" ht="17" x14ac:dyDescent="0.2">
      <c r="A255" s="76"/>
      <c r="B255" s="91" t="s">
        <v>86</v>
      </c>
      <c r="C255" s="104"/>
      <c r="D255" s="95"/>
      <c r="E255" s="95"/>
      <c r="F255" s="96">
        <f>SUM(F251:F254)</f>
        <v>0.42582500000000001</v>
      </c>
    </row>
    <row r="256" spans="1:6" x14ac:dyDescent="0.2">
      <c r="A256" s="76"/>
      <c r="B256" s="90" t="s">
        <v>138</v>
      </c>
      <c r="C256" s="6">
        <v>1</v>
      </c>
      <c r="D256" s="76"/>
      <c r="E256" s="76"/>
      <c r="F256" s="76"/>
    </row>
    <row r="257" spans="1:6" s="15" customFormat="1" x14ac:dyDescent="0.2">
      <c r="A257" s="76"/>
      <c r="B257" s="90" t="s">
        <v>129</v>
      </c>
      <c r="C257" s="105">
        <f>F255/C256</f>
        <v>0.42582500000000001</v>
      </c>
      <c r="D257" s="76"/>
      <c r="E257" s="76"/>
      <c r="F257" s="76"/>
    </row>
    <row r="259" spans="1:6" s="19" customFormat="1" x14ac:dyDescent="0.2">
      <c r="A259" s="12" t="s">
        <v>115</v>
      </c>
      <c r="B259" s="12" t="s">
        <v>162</v>
      </c>
      <c r="C259" s="13"/>
      <c r="D259" s="12"/>
      <c r="E259" s="14"/>
      <c r="F259" s="14"/>
    </row>
    <row r="260" spans="1:6" ht="17" x14ac:dyDescent="0.2">
      <c r="A260" s="12"/>
      <c r="B260" s="12"/>
      <c r="C260" s="88" t="s">
        <v>82</v>
      </c>
      <c r="D260" s="88" t="s">
        <v>83</v>
      </c>
      <c r="E260" s="88" t="s">
        <v>84</v>
      </c>
      <c r="F260" s="88" t="s">
        <v>85</v>
      </c>
    </row>
    <row r="261" spans="1:6" x14ac:dyDescent="0.2">
      <c r="A261" s="12"/>
      <c r="B261" s="2" t="s">
        <v>15</v>
      </c>
      <c r="C261" s="6">
        <v>0.05</v>
      </c>
      <c r="D261" s="3" t="str">
        <f>VLOOKUP(B261,Produits!A:G,3,FALSE)</f>
        <v>Kilogramme</v>
      </c>
      <c r="E261" s="93">
        <f>VLOOKUP(B261,Produits!A:G,7,FALSE)</f>
        <v>9.58</v>
      </c>
      <c r="F261" s="96">
        <f t="shared" ref="F261:F263" si="29">E261*C261</f>
        <v>0.47900000000000004</v>
      </c>
    </row>
    <row r="262" spans="1:6" x14ac:dyDescent="0.2">
      <c r="A262" s="12"/>
      <c r="B262" s="2" t="s">
        <v>65</v>
      </c>
      <c r="C262" s="6">
        <v>0.2</v>
      </c>
      <c r="D262" s="3" t="str">
        <f>VLOOKUP(B262,Produits!A:G,3,FALSE)</f>
        <v>Kilogramme</v>
      </c>
      <c r="E262" s="93">
        <f>VLOOKUP(B262,Produits!A:G,7,FALSE)</f>
        <v>1.85</v>
      </c>
      <c r="F262" s="96">
        <f t="shared" si="29"/>
        <v>0.37000000000000005</v>
      </c>
    </row>
    <row r="263" spans="1:6" x14ac:dyDescent="0.2">
      <c r="A263" s="12"/>
      <c r="B263" s="2" t="s">
        <v>106</v>
      </c>
      <c r="C263" s="6">
        <v>0.02</v>
      </c>
      <c r="D263" s="3" t="str">
        <f>VLOOKUP(B263,Produits!A:G,3,FALSE)</f>
        <v>Litre</v>
      </c>
      <c r="E263" s="93">
        <f>VLOOKUP(B263,Produits!A:G,7,FALSE)</f>
        <v>4.49</v>
      </c>
      <c r="F263" s="96">
        <f t="shared" si="29"/>
        <v>8.9800000000000005E-2</v>
      </c>
    </row>
    <row r="264" spans="1:6" ht="17" x14ac:dyDescent="0.2">
      <c r="A264" s="12"/>
      <c r="B264" s="91" t="s">
        <v>86</v>
      </c>
      <c r="C264" s="104"/>
      <c r="D264" s="95"/>
      <c r="E264" s="95"/>
      <c r="F264" s="96">
        <f>SUM(F261:F263)</f>
        <v>0.93880000000000008</v>
      </c>
    </row>
    <row r="265" spans="1:6" x14ac:dyDescent="0.2">
      <c r="A265" s="12"/>
      <c r="B265" s="90" t="s">
        <v>138</v>
      </c>
      <c r="C265" s="6">
        <v>15</v>
      </c>
      <c r="D265" s="12"/>
      <c r="E265" s="12"/>
      <c r="F265" s="12"/>
    </row>
    <row r="266" spans="1:6" s="15" customFormat="1" x14ac:dyDescent="0.2">
      <c r="A266" s="12"/>
      <c r="B266" s="90" t="s">
        <v>129</v>
      </c>
      <c r="C266" s="105">
        <f>F264/C265</f>
        <v>6.2586666666666665E-2</v>
      </c>
      <c r="D266" s="12"/>
      <c r="E266" s="12"/>
      <c r="F266" s="12"/>
    </row>
    <row r="268" spans="1:6" s="19" customFormat="1" x14ac:dyDescent="0.2">
      <c r="A268" s="74" t="s">
        <v>154</v>
      </c>
      <c r="B268" s="74" t="s">
        <v>159</v>
      </c>
      <c r="C268" s="75"/>
      <c r="D268" s="74"/>
      <c r="E268" s="76"/>
      <c r="F268" s="76"/>
    </row>
    <row r="269" spans="1:6" ht="17" x14ac:dyDescent="0.2">
      <c r="A269" s="76"/>
      <c r="B269" s="76"/>
      <c r="C269" s="88" t="s">
        <v>82</v>
      </c>
      <c r="D269" s="88" t="s">
        <v>83</v>
      </c>
      <c r="E269" s="88" t="s">
        <v>84</v>
      </c>
      <c r="F269" s="88" t="s">
        <v>85</v>
      </c>
    </row>
    <row r="270" spans="1:6" x14ac:dyDescent="0.2">
      <c r="A270" s="76"/>
      <c r="B270" s="2" t="s">
        <v>355</v>
      </c>
      <c r="C270" s="6">
        <v>1</v>
      </c>
      <c r="D270" s="3" t="str">
        <f>VLOOKUP(B270,Produits!A:G,3,FALSE)</f>
        <v>Pièce</v>
      </c>
      <c r="E270" s="93">
        <f>VLOOKUP(B270,Produits!A:G,7,FALSE)</f>
        <v>0.19722499999999998</v>
      </c>
      <c r="F270" s="96">
        <f>E270*C270</f>
        <v>0.19722499999999998</v>
      </c>
    </row>
    <row r="271" spans="1:6" x14ac:dyDescent="0.2">
      <c r="A271" s="76"/>
      <c r="B271" s="2" t="s">
        <v>40</v>
      </c>
      <c r="C271" s="6">
        <v>0.02</v>
      </c>
      <c r="D271" s="3" t="str">
        <f>VLOOKUP(B271,Produits!A:G,3,FALSE)</f>
        <v>Litre</v>
      </c>
      <c r="E271" s="93">
        <f>VLOOKUP(B271,Produits!A:G,7,FALSE)</f>
        <v>3.55</v>
      </c>
      <c r="F271" s="96">
        <f t="shared" ref="F271:F272" si="30">E271*C271</f>
        <v>7.0999999999999994E-2</v>
      </c>
    </row>
    <row r="272" spans="1:6" x14ac:dyDescent="0.2">
      <c r="A272" s="76"/>
      <c r="B272" s="2" t="s">
        <v>41</v>
      </c>
      <c r="C272" s="6">
        <v>0.02</v>
      </c>
      <c r="D272" s="3" t="str">
        <f>VLOOKUP(B272,Produits!A:G,3,FALSE)</f>
        <v>Litre</v>
      </c>
      <c r="E272" s="93">
        <f>VLOOKUP(B272,Produits!A:G,7,FALSE)</f>
        <v>5.0714285714285712</v>
      </c>
      <c r="F272" s="96">
        <f t="shared" si="30"/>
        <v>0.10142857142857142</v>
      </c>
    </row>
    <row r="273" spans="1:6" ht="17" x14ac:dyDescent="0.2">
      <c r="A273" s="76"/>
      <c r="B273" s="91" t="s">
        <v>86</v>
      </c>
      <c r="C273" s="104"/>
      <c r="D273" s="95"/>
      <c r="E273" s="95"/>
      <c r="F273" s="96">
        <f>SUM(F269:F272)</f>
        <v>0.36965357142857141</v>
      </c>
    </row>
    <row r="274" spans="1:6" x14ac:dyDescent="0.2">
      <c r="A274" s="76"/>
      <c r="B274" s="90" t="s">
        <v>138</v>
      </c>
      <c r="C274" s="6">
        <v>1</v>
      </c>
      <c r="D274" s="76"/>
      <c r="E274" s="76"/>
      <c r="F274" s="76"/>
    </row>
    <row r="275" spans="1:6" s="15" customFormat="1" x14ac:dyDescent="0.2">
      <c r="A275" s="76"/>
      <c r="B275" s="90" t="s">
        <v>129</v>
      </c>
      <c r="C275" s="105">
        <f>F273/C274</f>
        <v>0.36965357142857141</v>
      </c>
      <c r="D275" s="76"/>
      <c r="E275" s="76"/>
      <c r="F275" s="76"/>
    </row>
    <row r="277" spans="1:6" s="19" customFormat="1" x14ac:dyDescent="0.2">
      <c r="A277" s="12" t="s">
        <v>115</v>
      </c>
      <c r="B277" s="12" t="s">
        <v>163</v>
      </c>
      <c r="C277" s="13"/>
      <c r="D277" s="12"/>
      <c r="E277" s="14"/>
      <c r="F277" s="14"/>
    </row>
    <row r="278" spans="1:6" ht="17" x14ac:dyDescent="0.2">
      <c r="A278" s="12"/>
      <c r="B278" s="12"/>
      <c r="C278" s="88" t="s">
        <v>82</v>
      </c>
      <c r="D278" s="88" t="s">
        <v>83</v>
      </c>
      <c r="E278" s="88" t="s">
        <v>84</v>
      </c>
      <c r="F278" s="88" t="s">
        <v>85</v>
      </c>
    </row>
    <row r="279" spans="1:6" x14ac:dyDescent="0.2">
      <c r="A279" s="12"/>
      <c r="B279" s="2" t="s">
        <v>44</v>
      </c>
      <c r="C279" s="6">
        <v>0.32</v>
      </c>
      <c r="D279" s="3" t="str">
        <f>VLOOKUP(B279,Produits!A:G,3,FALSE)</f>
        <v>Kilogramme</v>
      </c>
      <c r="E279" s="93">
        <f>VLOOKUP(B279,Produits!A:G,7,FALSE)</f>
        <v>7.9687499999999991</v>
      </c>
      <c r="F279" s="96">
        <f t="shared" ref="F279:F280" si="31">E279*C279</f>
        <v>2.5499999999999998</v>
      </c>
    </row>
    <row r="280" spans="1:6" x14ac:dyDescent="0.2">
      <c r="A280" s="12"/>
      <c r="B280" s="2" t="s">
        <v>106</v>
      </c>
      <c r="C280" s="6">
        <v>0.1</v>
      </c>
      <c r="D280" s="3" t="str">
        <f>VLOOKUP(B280,Produits!A:G,3,FALSE)</f>
        <v>Litre</v>
      </c>
      <c r="E280" s="93">
        <f>VLOOKUP(B280,Produits!A:G,7,FALSE)</f>
        <v>4.49</v>
      </c>
      <c r="F280" s="96">
        <f t="shared" si="31"/>
        <v>0.44900000000000007</v>
      </c>
    </row>
    <row r="281" spans="1:6" ht="17" x14ac:dyDescent="0.2">
      <c r="A281" s="12"/>
      <c r="B281" s="91" t="s">
        <v>86</v>
      </c>
      <c r="C281" s="104"/>
      <c r="D281" s="95"/>
      <c r="E281" s="95"/>
      <c r="F281" s="96">
        <f>SUM(F279:F280)</f>
        <v>2.9989999999999997</v>
      </c>
    </row>
    <row r="282" spans="1:6" x14ac:dyDescent="0.2">
      <c r="A282" s="12"/>
      <c r="B282" s="90" t="s">
        <v>138</v>
      </c>
      <c r="C282" s="6">
        <v>15</v>
      </c>
      <c r="D282" s="12"/>
      <c r="E282" s="12"/>
      <c r="F282" s="12"/>
    </row>
    <row r="283" spans="1:6" s="15" customFormat="1" x14ac:dyDescent="0.2">
      <c r="A283" s="12"/>
      <c r="B283" s="90" t="s">
        <v>129</v>
      </c>
      <c r="C283" s="105">
        <f>F281/C282</f>
        <v>0.19993333333333332</v>
      </c>
      <c r="D283" s="12"/>
      <c r="E283" s="12"/>
      <c r="F283" s="12"/>
    </row>
    <row r="285" spans="1:6" s="19" customFormat="1" x14ac:dyDescent="0.2">
      <c r="A285" s="74" t="s">
        <v>154</v>
      </c>
      <c r="B285" s="74" t="s">
        <v>160</v>
      </c>
      <c r="C285" s="75"/>
      <c r="D285" s="74"/>
      <c r="E285" s="76"/>
      <c r="F285" s="76"/>
    </row>
    <row r="286" spans="1:6" ht="17" x14ac:dyDescent="0.2">
      <c r="A286" s="74"/>
      <c r="B286" s="74"/>
      <c r="C286" s="88" t="s">
        <v>82</v>
      </c>
      <c r="D286" s="88" t="s">
        <v>83</v>
      </c>
      <c r="E286" s="88" t="s">
        <v>84</v>
      </c>
      <c r="F286" s="88" t="s">
        <v>85</v>
      </c>
    </row>
    <row r="287" spans="1:6" x14ac:dyDescent="0.2">
      <c r="A287" s="74"/>
      <c r="B287" s="2" t="s">
        <v>355</v>
      </c>
      <c r="C287" s="6">
        <v>1</v>
      </c>
      <c r="D287" s="3" t="str">
        <f>VLOOKUP(B287,Produits!A:G,3,FALSE)</f>
        <v>Pièce</v>
      </c>
      <c r="E287" s="93">
        <f>VLOOKUP(B287,Produits!A:G,7,FALSE)</f>
        <v>0.19722499999999998</v>
      </c>
      <c r="F287" s="96">
        <f>E287*C287</f>
        <v>0.19722499999999998</v>
      </c>
    </row>
    <row r="288" spans="1:6" x14ac:dyDescent="0.2">
      <c r="A288" s="74"/>
      <c r="B288" s="2" t="s">
        <v>163</v>
      </c>
      <c r="C288" s="6">
        <v>1</v>
      </c>
      <c r="D288" s="3" t="str">
        <f>VLOOKUP(B288,Produits!A:G,3,FALSE)</f>
        <v>Pièce</v>
      </c>
      <c r="E288" s="93">
        <f>VLOOKUP(B288,Produits!A:G,7,FALSE)</f>
        <v>0.19993333333333332</v>
      </c>
      <c r="F288" s="96">
        <f t="shared" ref="F288:F290" si="32">E288*C288</f>
        <v>0.19993333333333332</v>
      </c>
    </row>
    <row r="289" spans="1:6" x14ac:dyDescent="0.2">
      <c r="A289" s="74"/>
      <c r="B289" s="2" t="s">
        <v>106</v>
      </c>
      <c r="C289" s="6">
        <v>0.01</v>
      </c>
      <c r="D289" s="3" t="str">
        <f>VLOOKUP(B289,Produits!A:G,3,FALSE)</f>
        <v>Litre</v>
      </c>
      <c r="E289" s="93">
        <f>VLOOKUP(B289,Produits!A:G,7,FALSE)</f>
        <v>4.49</v>
      </c>
      <c r="F289" s="96">
        <f t="shared" si="32"/>
        <v>4.4900000000000002E-2</v>
      </c>
    </row>
    <row r="290" spans="1:6" x14ac:dyDescent="0.2">
      <c r="A290" s="74"/>
      <c r="B290" s="2" t="s">
        <v>15</v>
      </c>
      <c r="C290" s="6">
        <v>0.02</v>
      </c>
      <c r="D290" s="3" t="str">
        <f>VLOOKUP(B290,Produits!A:G,3,FALSE)</f>
        <v>Kilogramme</v>
      </c>
      <c r="E290" s="93">
        <f>VLOOKUP(B290,Produits!A:G,7,FALSE)</f>
        <v>9.58</v>
      </c>
      <c r="F290" s="96">
        <f t="shared" si="32"/>
        <v>0.19159999999999999</v>
      </c>
    </row>
    <row r="291" spans="1:6" ht="17" x14ac:dyDescent="0.2">
      <c r="A291" s="74"/>
      <c r="B291" s="91" t="s">
        <v>86</v>
      </c>
      <c r="C291" s="104"/>
      <c r="D291" s="95"/>
      <c r="E291" s="95"/>
      <c r="F291" s="96">
        <f>SUM(F286:F290)</f>
        <v>0.63365833333333321</v>
      </c>
    </row>
    <row r="292" spans="1:6" x14ac:dyDescent="0.2">
      <c r="A292" s="74"/>
      <c r="B292" s="90" t="s">
        <v>138</v>
      </c>
      <c r="C292" s="6">
        <v>1</v>
      </c>
      <c r="D292" s="74"/>
      <c r="E292" s="74"/>
      <c r="F292" s="74"/>
    </row>
    <row r="293" spans="1:6" s="15" customFormat="1" x14ac:dyDescent="0.2">
      <c r="A293" s="74"/>
      <c r="B293" s="90" t="s">
        <v>129</v>
      </c>
      <c r="C293" s="105">
        <f>F291/C292</f>
        <v>0.63365833333333321</v>
      </c>
      <c r="D293" s="74"/>
      <c r="E293" s="74"/>
      <c r="F293" s="74"/>
    </row>
    <row r="295" spans="1:6" s="19" customFormat="1" x14ac:dyDescent="0.2">
      <c r="A295" s="12" t="s">
        <v>115</v>
      </c>
      <c r="B295" s="12" t="s">
        <v>164</v>
      </c>
      <c r="C295" s="13"/>
      <c r="D295" s="12"/>
      <c r="E295" s="14"/>
      <c r="F295" s="14"/>
    </row>
    <row r="296" spans="1:6" ht="17" x14ac:dyDescent="0.2">
      <c r="A296" s="12"/>
      <c r="B296" s="12"/>
      <c r="C296" s="88" t="s">
        <v>82</v>
      </c>
      <c r="D296" s="88" t="s">
        <v>83</v>
      </c>
      <c r="E296" s="88" t="s">
        <v>84</v>
      </c>
      <c r="F296" s="88" t="s">
        <v>85</v>
      </c>
    </row>
    <row r="297" spans="1:6" x14ac:dyDescent="0.2">
      <c r="A297" s="12"/>
      <c r="B297" s="2" t="s">
        <v>58</v>
      </c>
      <c r="C297" s="6">
        <v>1</v>
      </c>
      <c r="D297" s="3" t="str">
        <f>VLOOKUP(B297,Produits!A:G,3,FALSE)</f>
        <v>Kilogramme</v>
      </c>
      <c r="E297" s="93">
        <f>VLOOKUP(B297,Produits!A:G,7,FALSE)</f>
        <v>2.6749999999999998</v>
      </c>
      <c r="F297" s="96">
        <f t="shared" ref="F297:F299" si="33">E297*C297</f>
        <v>2.6749999999999998</v>
      </c>
    </row>
    <row r="298" spans="1:6" x14ac:dyDescent="0.2">
      <c r="A298" s="12"/>
      <c r="B298" s="2" t="s">
        <v>15</v>
      </c>
      <c r="C298" s="6">
        <v>0.1</v>
      </c>
      <c r="D298" s="3" t="str">
        <f>VLOOKUP(B298,Produits!A:G,3,FALSE)</f>
        <v>Kilogramme</v>
      </c>
      <c r="E298" s="93">
        <f>VLOOKUP(B298,Produits!A:G,7,FALSE)</f>
        <v>9.58</v>
      </c>
      <c r="F298" s="96">
        <f t="shared" si="33"/>
        <v>0.95800000000000007</v>
      </c>
    </row>
    <row r="299" spans="1:6" x14ac:dyDescent="0.2">
      <c r="A299" s="12"/>
      <c r="B299" s="2" t="s">
        <v>65</v>
      </c>
      <c r="C299" s="6">
        <v>0.02</v>
      </c>
      <c r="D299" s="3" t="str">
        <f>VLOOKUP(B299,Produits!A:G,3,FALSE)</f>
        <v>Kilogramme</v>
      </c>
      <c r="E299" s="93">
        <f>VLOOKUP(B299,Produits!A:G,7,FALSE)</f>
        <v>1.85</v>
      </c>
      <c r="F299" s="96">
        <f t="shared" si="33"/>
        <v>3.7000000000000005E-2</v>
      </c>
    </row>
    <row r="300" spans="1:6" ht="17" x14ac:dyDescent="0.2">
      <c r="A300" s="12"/>
      <c r="B300" s="92" t="s">
        <v>86</v>
      </c>
      <c r="C300" s="95"/>
      <c r="D300" s="95"/>
      <c r="E300" s="95"/>
      <c r="F300" s="96">
        <f>SUM(F297:F299)</f>
        <v>3.67</v>
      </c>
    </row>
    <row r="301" spans="1:6" x14ac:dyDescent="0.2">
      <c r="A301" s="12"/>
      <c r="B301" s="89" t="s">
        <v>138</v>
      </c>
      <c r="C301" s="6">
        <v>20</v>
      </c>
      <c r="D301" s="12"/>
      <c r="E301" s="12"/>
      <c r="F301" s="12"/>
    </row>
    <row r="302" spans="1:6" s="15" customFormat="1" x14ac:dyDescent="0.2">
      <c r="A302" s="12"/>
      <c r="B302" s="89" t="s">
        <v>129</v>
      </c>
      <c r="C302" s="97">
        <f>F300/C301</f>
        <v>0.1835</v>
      </c>
      <c r="D302" s="12"/>
      <c r="E302" s="12"/>
      <c r="F302" s="12"/>
    </row>
    <row r="304" spans="1:6" s="19" customFormat="1" x14ac:dyDescent="0.2">
      <c r="A304" s="74" t="s">
        <v>154</v>
      </c>
      <c r="B304" s="74" t="s">
        <v>161</v>
      </c>
      <c r="C304" s="75"/>
      <c r="D304" s="74"/>
      <c r="E304" s="76"/>
      <c r="F304" s="76"/>
    </row>
    <row r="305" spans="1:6" ht="17" x14ac:dyDescent="0.2">
      <c r="A305" s="76"/>
      <c r="B305" s="76"/>
      <c r="C305" s="88" t="s">
        <v>82</v>
      </c>
      <c r="D305" s="88" t="s">
        <v>83</v>
      </c>
      <c r="E305" s="88" t="s">
        <v>84</v>
      </c>
      <c r="F305" s="88" t="s">
        <v>85</v>
      </c>
    </row>
    <row r="306" spans="1:6" x14ac:dyDescent="0.2">
      <c r="A306" s="76"/>
      <c r="B306" s="2" t="s">
        <v>355</v>
      </c>
      <c r="C306" s="6">
        <v>1</v>
      </c>
      <c r="D306" s="3" t="str">
        <f>VLOOKUP(B306,Produits!A:G,3,FALSE)</f>
        <v>Pièce</v>
      </c>
      <c r="E306" s="93">
        <f>VLOOKUP(B306,Produits!A:G,7,FALSE)</f>
        <v>0.19722499999999998</v>
      </c>
      <c r="F306" s="96">
        <f>E306*C306</f>
        <v>0.19722499999999998</v>
      </c>
    </row>
    <row r="307" spans="1:6" x14ac:dyDescent="0.2">
      <c r="A307" s="76"/>
      <c r="B307" s="2" t="s">
        <v>40</v>
      </c>
      <c r="C307" s="6">
        <v>0.02</v>
      </c>
      <c r="D307" s="3" t="str">
        <f>VLOOKUP(B307,Produits!A:G,3,FALSE)</f>
        <v>Litre</v>
      </c>
      <c r="E307" s="93">
        <f>VLOOKUP(B307,Produits!A:G,7,FALSE)</f>
        <v>3.55</v>
      </c>
      <c r="F307" s="96">
        <f t="shared" ref="F307:F308" si="34">E307*C307</f>
        <v>7.0999999999999994E-2</v>
      </c>
    </row>
    <row r="308" spans="1:6" x14ac:dyDescent="0.2">
      <c r="A308" s="76"/>
      <c r="B308" s="2" t="s">
        <v>41</v>
      </c>
      <c r="C308" s="6">
        <v>0.02</v>
      </c>
      <c r="D308" s="3" t="str">
        <f>VLOOKUP(B308,Produits!A:G,3,FALSE)</f>
        <v>Litre</v>
      </c>
      <c r="E308" s="93">
        <f>VLOOKUP(B308,Produits!A:G,7,FALSE)</f>
        <v>5.0714285714285712</v>
      </c>
      <c r="F308" s="96">
        <f t="shared" si="34"/>
        <v>0.10142857142857142</v>
      </c>
    </row>
    <row r="309" spans="1:6" ht="17" x14ac:dyDescent="0.2">
      <c r="A309" s="76"/>
      <c r="B309" s="91" t="s">
        <v>86</v>
      </c>
      <c r="C309" s="104"/>
      <c r="D309" s="95"/>
      <c r="E309" s="95"/>
      <c r="F309" s="96">
        <f>SUM(F305:F308)</f>
        <v>0.36965357142857141</v>
      </c>
    </row>
    <row r="310" spans="1:6" x14ac:dyDescent="0.2">
      <c r="A310" s="76"/>
      <c r="B310" s="90" t="s">
        <v>138</v>
      </c>
      <c r="C310" s="6">
        <v>1</v>
      </c>
      <c r="D310" s="76"/>
      <c r="E310" s="76"/>
      <c r="F310" s="76"/>
    </row>
    <row r="311" spans="1:6" s="15" customFormat="1" x14ac:dyDescent="0.2">
      <c r="A311" s="76"/>
      <c r="B311" s="90" t="s">
        <v>129</v>
      </c>
      <c r="C311" s="105">
        <f>F309/C310</f>
        <v>0.36965357142857141</v>
      </c>
      <c r="D311" s="76"/>
      <c r="E311" s="76"/>
      <c r="F311" s="76"/>
    </row>
    <row r="313" spans="1:6" s="19" customFormat="1" x14ac:dyDescent="0.2">
      <c r="A313" s="12" t="s">
        <v>115</v>
      </c>
      <c r="B313" s="12" t="s">
        <v>165</v>
      </c>
      <c r="C313" s="13"/>
      <c r="D313" s="12"/>
      <c r="E313" s="14"/>
      <c r="F313" s="14"/>
    </row>
    <row r="314" spans="1:6" ht="17" x14ac:dyDescent="0.2">
      <c r="A314" s="12"/>
      <c r="B314" s="12"/>
      <c r="C314" s="88" t="s">
        <v>82</v>
      </c>
      <c r="D314" s="88" t="s">
        <v>83</v>
      </c>
      <c r="E314" s="88" t="s">
        <v>84</v>
      </c>
      <c r="F314" s="88" t="s">
        <v>85</v>
      </c>
    </row>
    <row r="315" spans="1:6" x14ac:dyDescent="0.2">
      <c r="A315" s="12"/>
      <c r="B315" s="2" t="s">
        <v>8</v>
      </c>
      <c r="C315" s="6">
        <v>1</v>
      </c>
      <c r="D315" s="3" t="str">
        <f>VLOOKUP(B315,Produits!A:G,3,FALSE)</f>
        <v>Litre</v>
      </c>
      <c r="E315" s="93">
        <f>VLOOKUP(B315,Produits!A:G,7,FALSE)</f>
        <v>1.46</v>
      </c>
      <c r="F315" s="96">
        <f t="shared" ref="F315:F322" si="35">E315*C315</f>
        <v>1.46</v>
      </c>
    </row>
    <row r="316" spans="1:6" x14ac:dyDescent="0.2">
      <c r="A316" s="12"/>
      <c r="B316" s="2" t="s">
        <v>65</v>
      </c>
      <c r="C316" s="6">
        <v>0.1</v>
      </c>
      <c r="D316" s="3" t="str">
        <f>VLOOKUP(B316,Produits!A:G,3,FALSE)</f>
        <v>Kilogramme</v>
      </c>
      <c r="E316" s="93">
        <f>VLOOKUP(B316,Produits!A:G,7,FALSE)</f>
        <v>1.85</v>
      </c>
      <c r="F316" s="96">
        <f t="shared" si="35"/>
        <v>0.18500000000000003</v>
      </c>
    </row>
    <row r="317" spans="1:6" x14ac:dyDescent="0.2">
      <c r="A317" s="12"/>
      <c r="B317" s="2" t="s">
        <v>13</v>
      </c>
      <c r="C317" s="6">
        <v>0.02</v>
      </c>
      <c r="D317" s="3" t="str">
        <f>VLOOKUP(B317,Produits!A:G,3,FALSE)</f>
        <v>Kilogramme</v>
      </c>
      <c r="E317" s="93">
        <f>VLOOKUP(B317,Produits!A:G,7,FALSE)</f>
        <v>1.29</v>
      </c>
      <c r="F317" s="96">
        <f t="shared" si="35"/>
        <v>2.58E-2</v>
      </c>
    </row>
    <row r="318" spans="1:6" x14ac:dyDescent="0.2">
      <c r="A318" s="12"/>
      <c r="B318" s="2" t="s">
        <v>46</v>
      </c>
      <c r="C318" s="6">
        <v>0.02</v>
      </c>
      <c r="D318" s="3" t="str">
        <f>VLOOKUP(B318,Produits!A:G,3,FALSE)</f>
        <v>Pièce</v>
      </c>
      <c r="E318" s="93">
        <f>VLOOKUP(B318,Produits!A:G,7,FALSE)</f>
        <v>52</v>
      </c>
      <c r="F318" s="96">
        <f t="shared" si="35"/>
        <v>1.04</v>
      </c>
    </row>
    <row r="319" spans="1:6" x14ac:dyDescent="0.2">
      <c r="A319" s="12"/>
      <c r="B319" s="2" t="s">
        <v>45</v>
      </c>
      <c r="C319" s="6">
        <v>0.02</v>
      </c>
      <c r="D319" s="3" t="str">
        <f>VLOOKUP(B319,Produits!A:G,3,FALSE)</f>
        <v>Kilogramme</v>
      </c>
      <c r="E319" s="93">
        <f>VLOOKUP(B319,Produits!A:G,7,FALSE)</f>
        <v>29.428571428571434</v>
      </c>
      <c r="F319" s="96">
        <f t="shared" ref="F319" si="36">E319*C319</f>
        <v>0.58857142857142875</v>
      </c>
    </row>
    <row r="320" spans="1:6" x14ac:dyDescent="0.2">
      <c r="A320" s="12"/>
      <c r="B320" s="2" t="s">
        <v>166</v>
      </c>
      <c r="C320" s="6">
        <v>4.0000000000000001E-3</v>
      </c>
      <c r="D320" s="3" t="str">
        <f>VLOOKUP(B320,Produits!A:G,3,FALSE)</f>
        <v>Litre</v>
      </c>
      <c r="E320" s="93">
        <f>VLOOKUP(B320,Produits!A:G,7,FALSE)</f>
        <v>22.214285714285715</v>
      </c>
      <c r="F320" s="96">
        <f t="shared" ref="F320:F321" si="37">E320*C320</f>
        <v>8.8857142857142857E-2</v>
      </c>
    </row>
    <row r="321" spans="1:6" x14ac:dyDescent="0.2">
      <c r="A321" s="12"/>
      <c r="B321" s="2" t="s">
        <v>9</v>
      </c>
      <c r="C321" s="6">
        <v>4</v>
      </c>
      <c r="D321" s="3" t="str">
        <f>VLOOKUP(B321,Produits!A:G,3,FALSE)</f>
        <v>Pièce</v>
      </c>
      <c r="E321" s="93">
        <f>VLOOKUP(B321,Produits!A:G,7,FALSE)</f>
        <v>0.35749999999999998</v>
      </c>
      <c r="F321" s="96">
        <f t="shared" si="37"/>
        <v>1.43</v>
      </c>
    </row>
    <row r="322" spans="1:6" x14ac:dyDescent="0.2">
      <c r="A322" s="12"/>
      <c r="B322" s="2" t="s">
        <v>15</v>
      </c>
      <c r="C322" s="6">
        <v>0.1</v>
      </c>
      <c r="D322" s="3" t="str">
        <f>VLOOKUP(B322,Produits!A:G,3,FALSE)</f>
        <v>Kilogramme</v>
      </c>
      <c r="E322" s="93">
        <f>VLOOKUP(B322,Produits!A:G,7,FALSE)</f>
        <v>9.58</v>
      </c>
      <c r="F322" s="96">
        <f t="shared" si="35"/>
        <v>0.95800000000000007</v>
      </c>
    </row>
    <row r="323" spans="1:6" ht="17" x14ac:dyDescent="0.2">
      <c r="A323" s="12"/>
      <c r="B323" s="91" t="s">
        <v>86</v>
      </c>
      <c r="C323" s="104"/>
      <c r="D323" s="95"/>
      <c r="E323" s="95"/>
      <c r="F323" s="96">
        <f>SUM(F315:F322)</f>
        <v>5.7762285714285717</v>
      </c>
    </row>
    <row r="324" spans="1:6" x14ac:dyDescent="0.2">
      <c r="A324" s="12"/>
      <c r="B324" s="90" t="s">
        <v>138</v>
      </c>
      <c r="C324" s="6">
        <v>15</v>
      </c>
      <c r="D324" s="12"/>
      <c r="E324" s="12"/>
      <c r="F324" s="12"/>
    </row>
    <row r="325" spans="1:6" s="15" customFormat="1" x14ac:dyDescent="0.2">
      <c r="A325" s="12"/>
      <c r="B325" s="90" t="s">
        <v>129</v>
      </c>
      <c r="C325" s="105">
        <f>F323/C324</f>
        <v>0.38508190476190479</v>
      </c>
      <c r="D325" s="12"/>
      <c r="E325" s="12"/>
      <c r="F325" s="12"/>
    </row>
    <row r="327" spans="1:6" s="19" customFormat="1" x14ac:dyDescent="0.2">
      <c r="A327" s="74" t="s">
        <v>154</v>
      </c>
      <c r="B327" s="74" t="s">
        <v>140</v>
      </c>
      <c r="C327" s="75"/>
      <c r="D327" s="74"/>
      <c r="E327" s="76"/>
      <c r="F327" s="76"/>
    </row>
    <row r="328" spans="1:6" ht="17" x14ac:dyDescent="0.2">
      <c r="A328" s="76"/>
      <c r="B328" s="76"/>
      <c r="C328" s="88" t="s">
        <v>82</v>
      </c>
      <c r="D328" s="88" t="s">
        <v>83</v>
      </c>
      <c r="E328" s="88" t="s">
        <v>84</v>
      </c>
      <c r="F328" s="88" t="s">
        <v>85</v>
      </c>
    </row>
    <row r="329" spans="1:6" x14ac:dyDescent="0.2">
      <c r="A329" s="76"/>
      <c r="B329" s="2" t="s">
        <v>355</v>
      </c>
      <c r="C329" s="6">
        <v>1</v>
      </c>
      <c r="D329" s="3" t="str">
        <f>VLOOKUP(B329,Produits!A:G,3,FALSE)</f>
        <v>Pièce</v>
      </c>
      <c r="E329" s="93">
        <f>VLOOKUP(B329,Produits!A:G,7,FALSE)</f>
        <v>0.19722499999999998</v>
      </c>
      <c r="F329" s="96">
        <f>E329*C329</f>
        <v>0.19722499999999998</v>
      </c>
    </row>
    <row r="330" spans="1:6" x14ac:dyDescent="0.2">
      <c r="A330" s="76"/>
      <c r="B330" s="2" t="s">
        <v>165</v>
      </c>
      <c r="C330" s="6">
        <v>1</v>
      </c>
      <c r="D330" s="3" t="str">
        <f>VLOOKUP(B330,Produits!A:G,3,FALSE)</f>
        <v>Pièce</v>
      </c>
      <c r="E330" s="93">
        <f>VLOOKUP(B330,Produits!A:G,7,FALSE)</f>
        <v>0.38508190476190479</v>
      </c>
      <c r="F330" s="96">
        <f t="shared" ref="F330:F331" si="38">E330*C330</f>
        <v>0.38508190476190479</v>
      </c>
    </row>
    <row r="331" spans="1:6" x14ac:dyDescent="0.2">
      <c r="A331" s="76"/>
      <c r="B331" s="2" t="s">
        <v>15</v>
      </c>
      <c r="C331" s="6">
        <v>5.0000000000000001E-3</v>
      </c>
      <c r="D331" s="3" t="str">
        <f>VLOOKUP(B331,Produits!A:G,3,FALSE)</f>
        <v>Kilogramme</v>
      </c>
      <c r="E331" s="93">
        <f>VLOOKUP(B331,Produits!A:G,7,FALSE)</f>
        <v>9.58</v>
      </c>
      <c r="F331" s="96">
        <f t="shared" si="38"/>
        <v>4.7899999999999998E-2</v>
      </c>
    </row>
    <row r="332" spans="1:6" ht="17" x14ac:dyDescent="0.2">
      <c r="A332" s="76"/>
      <c r="B332" s="91" t="s">
        <v>86</v>
      </c>
      <c r="C332" s="104"/>
      <c r="D332" s="95"/>
      <c r="E332" s="95"/>
      <c r="F332" s="96">
        <f>SUM(F328:F331)</f>
        <v>0.63020690476190477</v>
      </c>
    </row>
    <row r="333" spans="1:6" x14ac:dyDescent="0.2">
      <c r="A333" s="76"/>
      <c r="B333" s="90" t="s">
        <v>138</v>
      </c>
      <c r="C333" s="6">
        <v>1</v>
      </c>
      <c r="D333" s="76"/>
      <c r="E333" s="76"/>
      <c r="F333" s="76"/>
    </row>
    <row r="334" spans="1:6" s="15" customFormat="1" x14ac:dyDescent="0.2">
      <c r="A334" s="76"/>
      <c r="B334" s="90" t="s">
        <v>129</v>
      </c>
      <c r="C334" s="105">
        <f>F332/C333</f>
        <v>0.63020690476190477</v>
      </c>
      <c r="D334" s="76"/>
      <c r="E334" s="76"/>
      <c r="F334" s="76"/>
    </row>
    <row r="336" spans="1:6" s="19" customFormat="1" x14ac:dyDescent="0.2">
      <c r="A336" s="74" t="s">
        <v>154</v>
      </c>
      <c r="B336" s="74" t="s">
        <v>401</v>
      </c>
      <c r="C336" s="75"/>
      <c r="D336" s="74"/>
      <c r="E336" s="76"/>
      <c r="F336" s="76"/>
    </row>
    <row r="337" spans="1:6" ht="17" x14ac:dyDescent="0.2">
      <c r="A337" s="76"/>
      <c r="B337" s="76"/>
      <c r="C337" s="88" t="s">
        <v>82</v>
      </c>
      <c r="D337" s="88" t="s">
        <v>83</v>
      </c>
      <c r="E337" s="88" t="s">
        <v>84</v>
      </c>
      <c r="F337" s="88" t="s">
        <v>85</v>
      </c>
    </row>
    <row r="338" spans="1:6" x14ac:dyDescent="0.2">
      <c r="A338" s="76"/>
      <c r="B338" s="2" t="s">
        <v>355</v>
      </c>
      <c r="C338" s="6">
        <v>1</v>
      </c>
      <c r="D338" s="3" t="str">
        <f>VLOOKUP(B338,Produits!A:G,3,FALSE)</f>
        <v>Pièce</v>
      </c>
      <c r="E338" s="93">
        <f>VLOOKUP(B338,Produits!A:G,7,FALSE)</f>
        <v>0.19722499999999998</v>
      </c>
      <c r="F338" s="96">
        <f>E338*C338</f>
        <v>0.19722499999999998</v>
      </c>
    </row>
    <row r="339" spans="1:6" x14ac:dyDescent="0.2">
      <c r="A339" s="76"/>
      <c r="B339" s="2" t="s">
        <v>106</v>
      </c>
      <c r="C339" s="6">
        <v>0.02</v>
      </c>
      <c r="D339" s="3" t="str">
        <f>VLOOKUP(B339,Produits!A:G,3,FALSE)</f>
        <v>Litre</v>
      </c>
      <c r="E339" s="93">
        <f>VLOOKUP(B339,Produits!A:G,7,FALSE)</f>
        <v>4.49</v>
      </c>
      <c r="F339" s="96">
        <f t="shared" ref="F339:F341" si="39">E339*C339</f>
        <v>8.9800000000000005E-2</v>
      </c>
    </row>
    <row r="340" spans="1:6" x14ac:dyDescent="0.2">
      <c r="A340" s="76"/>
      <c r="B340" s="2" t="s">
        <v>65</v>
      </c>
      <c r="C340" s="6">
        <v>0.05</v>
      </c>
      <c r="D340" s="3" t="str">
        <f>VLOOKUP(B340,Produits!A:G,3,FALSE)</f>
        <v>Kilogramme</v>
      </c>
      <c r="E340" s="93">
        <f>VLOOKUP(B340,Produits!A:G,7,FALSE)</f>
        <v>1.85</v>
      </c>
      <c r="F340" s="96">
        <f t="shared" si="39"/>
        <v>9.2500000000000013E-2</v>
      </c>
    </row>
    <row r="341" spans="1:6" x14ac:dyDescent="0.2">
      <c r="A341" s="76"/>
      <c r="B341" s="2" t="s">
        <v>162</v>
      </c>
      <c r="C341" s="6">
        <v>1</v>
      </c>
      <c r="D341" s="3" t="str">
        <f>VLOOKUP(B341,Produits!A:G,3,FALSE)</f>
        <v>Pièce</v>
      </c>
      <c r="E341" s="93">
        <f>VLOOKUP(B341,Produits!A:G,7,FALSE)</f>
        <v>6.2586666666666665E-2</v>
      </c>
      <c r="F341" s="96">
        <f t="shared" si="39"/>
        <v>6.2586666666666665E-2</v>
      </c>
    </row>
    <row r="342" spans="1:6" ht="17" x14ac:dyDescent="0.2">
      <c r="A342" s="76"/>
      <c r="B342" s="91" t="s">
        <v>86</v>
      </c>
      <c r="C342" s="104"/>
      <c r="D342" s="95"/>
      <c r="E342" s="95"/>
      <c r="F342" s="96">
        <f>SUM(F337:F341)</f>
        <v>0.44211166666666668</v>
      </c>
    </row>
    <row r="343" spans="1:6" x14ac:dyDescent="0.2">
      <c r="A343" s="76"/>
      <c r="B343" s="90" t="s">
        <v>138</v>
      </c>
      <c r="C343" s="6">
        <v>1</v>
      </c>
      <c r="D343" s="76"/>
      <c r="E343" s="76"/>
      <c r="F343" s="76"/>
    </row>
    <row r="344" spans="1:6" s="15" customFormat="1" x14ac:dyDescent="0.2">
      <c r="A344" s="76"/>
      <c r="B344" s="90" t="s">
        <v>129</v>
      </c>
      <c r="C344" s="105">
        <f>F342/C343</f>
        <v>0.44211166666666668</v>
      </c>
      <c r="D344" s="76"/>
      <c r="E344" s="76"/>
      <c r="F344" s="76"/>
    </row>
    <row r="346" spans="1:6" s="19" customFormat="1" x14ac:dyDescent="0.2">
      <c r="A346" s="12" t="s">
        <v>115</v>
      </c>
      <c r="B346" s="12" t="s">
        <v>167</v>
      </c>
      <c r="C346" s="13"/>
      <c r="D346" s="12"/>
      <c r="E346" s="14"/>
      <c r="F346" s="14"/>
    </row>
    <row r="347" spans="1:6" ht="17" x14ac:dyDescent="0.2">
      <c r="A347" s="12"/>
      <c r="B347" s="12"/>
      <c r="C347" s="88" t="s">
        <v>82</v>
      </c>
      <c r="D347" s="88" t="s">
        <v>83</v>
      </c>
      <c r="E347" s="88" t="s">
        <v>84</v>
      </c>
      <c r="F347" s="88" t="s">
        <v>85</v>
      </c>
    </row>
    <row r="348" spans="1:6" x14ac:dyDescent="0.2">
      <c r="A348" s="12"/>
      <c r="B348" s="2" t="s">
        <v>8</v>
      </c>
      <c r="C348" s="6">
        <v>0.05</v>
      </c>
      <c r="D348" s="3" t="str">
        <f>VLOOKUP(B348,Produits!A:G,3,FALSE)</f>
        <v>Litre</v>
      </c>
      <c r="E348" s="93">
        <f>VLOOKUP(B348,Produits!A:G,7,FALSE)</f>
        <v>1.46</v>
      </c>
      <c r="F348" s="96">
        <f t="shared" ref="F348:F351" si="40">E348*C348</f>
        <v>7.2999999999999995E-2</v>
      </c>
    </row>
    <row r="349" spans="1:6" x14ac:dyDescent="0.2">
      <c r="A349" s="12"/>
      <c r="B349" s="2" t="s">
        <v>106</v>
      </c>
      <c r="C349" s="6">
        <v>0.05</v>
      </c>
      <c r="D349" s="3" t="str">
        <f>VLOOKUP(B349,Produits!A:G,3,FALSE)</f>
        <v>Litre</v>
      </c>
      <c r="E349" s="93">
        <f>VLOOKUP(B349,Produits!A:G,7,FALSE)</f>
        <v>4.49</v>
      </c>
      <c r="F349" s="96">
        <f t="shared" si="40"/>
        <v>0.22450000000000003</v>
      </c>
    </row>
    <row r="350" spans="1:6" x14ac:dyDescent="0.2">
      <c r="A350" s="12"/>
      <c r="B350" s="2" t="s">
        <v>65</v>
      </c>
      <c r="C350" s="6">
        <v>0.02</v>
      </c>
      <c r="D350" s="3" t="str">
        <f>VLOOKUP(B350,Produits!A:G,3,FALSE)</f>
        <v>Kilogramme</v>
      </c>
      <c r="E350" s="93">
        <f>VLOOKUP(B350,Produits!A:G,7,FALSE)</f>
        <v>1.85</v>
      </c>
      <c r="F350" s="96">
        <f t="shared" ref="F350" si="41">E350*C350</f>
        <v>3.7000000000000005E-2</v>
      </c>
    </row>
    <row r="351" spans="1:6" x14ac:dyDescent="0.2">
      <c r="A351" s="12"/>
      <c r="B351" s="2" t="s">
        <v>49</v>
      </c>
      <c r="C351" s="6">
        <v>0.13</v>
      </c>
      <c r="D351" s="3" t="str">
        <f>VLOOKUP(B351,Produits!A:G,3,FALSE)</f>
        <v>Kilogramme</v>
      </c>
      <c r="E351" s="93">
        <f>VLOOKUP(B351,Produits!A:G,7,FALSE)</f>
        <v>9.234</v>
      </c>
      <c r="F351" s="96">
        <f t="shared" si="40"/>
        <v>1.20042</v>
      </c>
    </row>
    <row r="352" spans="1:6" ht="17" x14ac:dyDescent="0.2">
      <c r="A352" s="12"/>
      <c r="B352" s="91" t="s">
        <v>86</v>
      </c>
      <c r="C352" s="104"/>
      <c r="D352" s="95"/>
      <c r="E352" s="95"/>
      <c r="F352" s="96">
        <f>SUM(F348:F351)</f>
        <v>1.5349200000000001</v>
      </c>
    </row>
    <row r="353" spans="1:6" x14ac:dyDescent="0.2">
      <c r="A353" s="12"/>
      <c r="B353" s="90" t="s">
        <v>138</v>
      </c>
      <c r="C353" s="6">
        <v>10</v>
      </c>
      <c r="D353" s="12"/>
      <c r="E353" s="12"/>
      <c r="F353" s="12"/>
    </row>
    <row r="354" spans="1:6" s="15" customFormat="1" x14ac:dyDescent="0.2">
      <c r="A354" s="12"/>
      <c r="B354" s="90" t="s">
        <v>129</v>
      </c>
      <c r="C354" s="105">
        <f>F352/C353</f>
        <v>0.15349200000000002</v>
      </c>
      <c r="D354" s="12"/>
      <c r="E354" s="12"/>
      <c r="F354" s="12"/>
    </row>
    <row r="356" spans="1:6" s="19" customFormat="1" x14ac:dyDescent="0.2">
      <c r="A356" s="21" t="s">
        <v>155</v>
      </c>
      <c r="B356" s="21" t="s">
        <v>141</v>
      </c>
      <c r="C356" s="22"/>
      <c r="D356" s="21"/>
      <c r="E356" s="23"/>
      <c r="F356" s="23"/>
    </row>
    <row r="357" spans="1:6" ht="17" x14ac:dyDescent="0.2">
      <c r="A357" s="21"/>
      <c r="B357" s="21"/>
      <c r="C357" s="88" t="s">
        <v>82</v>
      </c>
      <c r="D357" s="88" t="s">
        <v>83</v>
      </c>
      <c r="E357" s="88" t="s">
        <v>84</v>
      </c>
      <c r="F357" s="88" t="s">
        <v>85</v>
      </c>
    </row>
    <row r="358" spans="1:6" x14ac:dyDescent="0.2">
      <c r="A358" s="21"/>
      <c r="B358" s="2" t="s">
        <v>355</v>
      </c>
      <c r="C358" s="6">
        <v>1</v>
      </c>
      <c r="D358" s="3" t="str">
        <f>VLOOKUP(B358,Produits!A:G,3,FALSE)</f>
        <v>Pièce</v>
      </c>
      <c r="E358" s="93">
        <f>VLOOKUP(B358,Produits!A:G,7,FALSE)</f>
        <v>0.19722499999999998</v>
      </c>
      <c r="F358" s="96">
        <f>E358*C358</f>
        <v>0.19722499999999998</v>
      </c>
    </row>
    <row r="359" spans="1:6" x14ac:dyDescent="0.2">
      <c r="A359" s="21"/>
      <c r="B359" s="2" t="s">
        <v>167</v>
      </c>
      <c r="C359" s="6">
        <v>1</v>
      </c>
      <c r="D359" s="3" t="str">
        <f>VLOOKUP(B359,Produits!A:G,3,FALSE)</f>
        <v>Pièce</v>
      </c>
      <c r="E359" s="93">
        <f>VLOOKUP(B359,Produits!A:G,7,FALSE)</f>
        <v>0.15349200000000002</v>
      </c>
      <c r="F359" s="96">
        <f t="shared" ref="F359:F360" si="42">E359*C359</f>
        <v>0.15349200000000002</v>
      </c>
    </row>
    <row r="360" spans="1:6" x14ac:dyDescent="0.2">
      <c r="A360" s="21"/>
      <c r="B360" s="2" t="s">
        <v>15</v>
      </c>
      <c r="C360" s="6">
        <v>5.0000000000000001E-3</v>
      </c>
      <c r="D360" s="3" t="str">
        <f>VLOOKUP(B360,Produits!A:G,3,FALSE)</f>
        <v>Kilogramme</v>
      </c>
      <c r="E360" s="93">
        <f>VLOOKUP(B360,Produits!A:G,7,FALSE)</f>
        <v>9.58</v>
      </c>
      <c r="F360" s="96">
        <f t="shared" si="42"/>
        <v>4.7899999999999998E-2</v>
      </c>
    </row>
    <row r="361" spans="1:6" ht="17" x14ac:dyDescent="0.2">
      <c r="A361" s="21"/>
      <c r="B361" s="91" t="s">
        <v>86</v>
      </c>
      <c r="C361" s="104"/>
      <c r="D361" s="95"/>
      <c r="E361" s="95"/>
      <c r="F361" s="96">
        <f>SUM(F357:F360)</f>
        <v>0.398617</v>
      </c>
    </row>
    <row r="362" spans="1:6" x14ac:dyDescent="0.2">
      <c r="A362" s="21"/>
      <c r="B362" s="90" t="s">
        <v>138</v>
      </c>
      <c r="C362" s="6">
        <v>1</v>
      </c>
      <c r="D362" s="21"/>
      <c r="E362" s="21"/>
      <c r="F362" s="21"/>
    </row>
    <row r="363" spans="1:6" s="15" customFormat="1" x14ac:dyDescent="0.2">
      <c r="A363" s="21"/>
      <c r="B363" s="90" t="s">
        <v>129</v>
      </c>
      <c r="C363" s="105">
        <f>F361/C362</f>
        <v>0.398617</v>
      </c>
      <c r="D363" s="21"/>
      <c r="E363" s="21"/>
      <c r="F363" s="21"/>
    </row>
    <row r="365" spans="1:6" s="19" customFormat="1" x14ac:dyDescent="0.2">
      <c r="A365" s="21" t="s">
        <v>155</v>
      </c>
      <c r="B365" s="21" t="s">
        <v>142</v>
      </c>
      <c r="C365" s="22"/>
      <c r="D365" s="21"/>
      <c r="E365" s="23"/>
      <c r="F365" s="23"/>
    </row>
    <row r="366" spans="1:6" ht="17" x14ac:dyDescent="0.2">
      <c r="A366" s="21"/>
      <c r="B366" s="21"/>
      <c r="C366" s="88" t="s">
        <v>82</v>
      </c>
      <c r="D366" s="88" t="s">
        <v>83</v>
      </c>
      <c r="E366" s="88" t="s">
        <v>84</v>
      </c>
      <c r="F366" s="88" t="s">
        <v>85</v>
      </c>
    </row>
    <row r="367" spans="1:6" x14ac:dyDescent="0.2">
      <c r="A367" s="21"/>
      <c r="B367" s="2" t="s">
        <v>355</v>
      </c>
      <c r="C367" s="6">
        <v>1</v>
      </c>
      <c r="D367" s="3" t="str">
        <f>VLOOKUP(B367,Produits!A:G,3,FALSE)</f>
        <v>Pièce</v>
      </c>
      <c r="E367" s="93">
        <f>VLOOKUP(B367,Produits!A:G,7,FALSE)</f>
        <v>0.19722499999999998</v>
      </c>
      <c r="F367" s="96">
        <f>E367*C367</f>
        <v>0.19722499999999998</v>
      </c>
    </row>
    <row r="368" spans="1:6" x14ac:dyDescent="0.2">
      <c r="A368" s="21"/>
      <c r="B368" s="2" t="s">
        <v>167</v>
      </c>
      <c r="C368" s="6">
        <v>1</v>
      </c>
      <c r="D368" s="3" t="str">
        <f>VLOOKUP(B368,Produits!A:G,3,FALSE)</f>
        <v>Pièce</v>
      </c>
      <c r="E368" s="93">
        <f>VLOOKUP(B368,Produits!A:G,7,FALSE)</f>
        <v>0.15349200000000002</v>
      </c>
      <c r="F368" s="96">
        <f t="shared" ref="F368:F370" si="43">E368*C368</f>
        <v>0.15349200000000002</v>
      </c>
    </row>
    <row r="369" spans="1:6" x14ac:dyDescent="0.2">
      <c r="A369" s="21"/>
      <c r="B369" s="2" t="s">
        <v>106</v>
      </c>
      <c r="C369" s="6">
        <v>0.02</v>
      </c>
      <c r="D369" s="3" t="str">
        <f>VLOOKUP(B369,Produits!A:G,3,FALSE)</f>
        <v>Litre</v>
      </c>
      <c r="E369" s="93">
        <f>VLOOKUP(B369,Produits!A:G,7,FALSE)</f>
        <v>4.49</v>
      </c>
      <c r="F369" s="96">
        <f t="shared" si="43"/>
        <v>8.9800000000000005E-2</v>
      </c>
    </row>
    <row r="370" spans="1:6" x14ac:dyDescent="0.2">
      <c r="A370" s="21"/>
      <c r="B370" s="2" t="s">
        <v>51</v>
      </c>
      <c r="C370" s="6">
        <v>0.03</v>
      </c>
      <c r="D370" s="3" t="str">
        <f>VLOOKUP(B370,Produits!A:G,3,FALSE)</f>
        <v>Kilogramme</v>
      </c>
      <c r="E370" s="93">
        <f>VLOOKUP(B370,Produits!A:G,7,FALSE)</f>
        <v>3.69</v>
      </c>
      <c r="F370" s="96">
        <f t="shared" si="43"/>
        <v>0.11069999999999999</v>
      </c>
    </row>
    <row r="371" spans="1:6" ht="17" x14ac:dyDescent="0.2">
      <c r="A371" s="21"/>
      <c r="B371" s="91" t="s">
        <v>86</v>
      </c>
      <c r="C371" s="104"/>
      <c r="D371" s="95"/>
      <c r="E371" s="95"/>
      <c r="F371" s="96">
        <f>SUM(F366:F370)</f>
        <v>0.55121699999999996</v>
      </c>
    </row>
    <row r="372" spans="1:6" x14ac:dyDescent="0.2">
      <c r="A372" s="21"/>
      <c r="B372" s="90" t="s">
        <v>138</v>
      </c>
      <c r="C372" s="6">
        <v>1</v>
      </c>
      <c r="D372" s="21"/>
      <c r="E372" s="21"/>
      <c r="F372" s="21"/>
    </row>
    <row r="373" spans="1:6" s="15" customFormat="1" x14ac:dyDescent="0.2">
      <c r="A373" s="21"/>
      <c r="B373" s="90" t="s">
        <v>129</v>
      </c>
      <c r="C373" s="105">
        <f>F371/C372</f>
        <v>0.55121699999999996</v>
      </c>
      <c r="D373" s="21"/>
      <c r="E373" s="21"/>
      <c r="F373" s="21"/>
    </row>
    <row r="375" spans="1:6" s="19" customFormat="1" x14ac:dyDescent="0.2">
      <c r="A375" s="12" t="s">
        <v>115</v>
      </c>
      <c r="B375" s="12" t="s">
        <v>168</v>
      </c>
      <c r="C375" s="13"/>
      <c r="D375" s="12"/>
      <c r="E375" s="14"/>
      <c r="F375" s="14"/>
    </row>
    <row r="376" spans="1:6" ht="17" x14ac:dyDescent="0.2">
      <c r="A376" s="12"/>
      <c r="B376" s="12"/>
      <c r="C376" s="88" t="s">
        <v>82</v>
      </c>
      <c r="D376" s="88" t="s">
        <v>83</v>
      </c>
      <c r="E376" s="88" t="s">
        <v>84</v>
      </c>
      <c r="F376" s="88" t="s">
        <v>85</v>
      </c>
    </row>
    <row r="377" spans="1:6" x14ac:dyDescent="0.2">
      <c r="A377" s="12"/>
      <c r="B377" s="2" t="s">
        <v>8</v>
      </c>
      <c r="C377" s="6">
        <v>0.05</v>
      </c>
      <c r="D377" s="3" t="str">
        <f>VLOOKUP(B377,Produits!A:G,3,FALSE)</f>
        <v>Litre</v>
      </c>
      <c r="E377" s="93">
        <f>VLOOKUP(B377,Produits!A:G,7,FALSE)</f>
        <v>1.46</v>
      </c>
      <c r="F377" s="96">
        <f t="shared" ref="F377:F380" si="44">E377*C377</f>
        <v>7.2999999999999995E-2</v>
      </c>
    </row>
    <row r="378" spans="1:6" x14ac:dyDescent="0.2">
      <c r="A378" s="12"/>
      <c r="B378" s="2" t="s">
        <v>106</v>
      </c>
      <c r="C378" s="6">
        <v>0.05</v>
      </c>
      <c r="D378" s="3" t="str">
        <f>VLOOKUP(B378,Produits!A:G,3,FALSE)</f>
        <v>Litre</v>
      </c>
      <c r="E378" s="93">
        <f>VLOOKUP(B378,Produits!A:G,7,FALSE)</f>
        <v>4.49</v>
      </c>
      <c r="F378" s="96">
        <f t="shared" si="44"/>
        <v>0.22450000000000003</v>
      </c>
    </row>
    <row r="379" spans="1:6" x14ac:dyDescent="0.2">
      <c r="A379" s="12"/>
      <c r="B379" s="2" t="s">
        <v>65</v>
      </c>
      <c r="C379" s="6">
        <v>0.02</v>
      </c>
      <c r="D379" s="3" t="str">
        <f>VLOOKUP(B379,Produits!A:G,3,FALSE)</f>
        <v>Kilogramme</v>
      </c>
      <c r="E379" s="93">
        <f>VLOOKUP(B379,Produits!A:G,7,FALSE)</f>
        <v>1.85</v>
      </c>
      <c r="F379" s="96">
        <f t="shared" si="44"/>
        <v>3.7000000000000005E-2</v>
      </c>
    </row>
    <row r="380" spans="1:6" x14ac:dyDescent="0.2">
      <c r="A380" s="12"/>
      <c r="B380" s="2" t="s">
        <v>50</v>
      </c>
      <c r="C380" s="6">
        <v>0.13</v>
      </c>
      <c r="D380" s="3" t="str">
        <f>VLOOKUP(B380,Produits!A:G,3,FALSE)</f>
        <v>Kilogramme</v>
      </c>
      <c r="E380" s="93">
        <f>VLOOKUP(B380,Produits!A:G,7,FALSE)</f>
        <v>23.32</v>
      </c>
      <c r="F380" s="96">
        <f t="shared" si="44"/>
        <v>3.0316000000000001</v>
      </c>
    </row>
    <row r="381" spans="1:6" ht="17" x14ac:dyDescent="0.2">
      <c r="A381" s="12"/>
      <c r="B381" s="91" t="s">
        <v>86</v>
      </c>
      <c r="C381" s="104"/>
      <c r="D381" s="95"/>
      <c r="E381" s="95"/>
      <c r="F381" s="96">
        <f>SUM(F377:F380)</f>
        <v>3.3661000000000003</v>
      </c>
    </row>
    <row r="382" spans="1:6" x14ac:dyDescent="0.2">
      <c r="A382" s="12"/>
      <c r="B382" s="90" t="s">
        <v>138</v>
      </c>
      <c r="C382" s="6">
        <v>10</v>
      </c>
      <c r="D382" s="12"/>
      <c r="E382" s="12"/>
      <c r="F382" s="12"/>
    </row>
    <row r="383" spans="1:6" s="15" customFormat="1" x14ac:dyDescent="0.2">
      <c r="A383" s="12"/>
      <c r="B383" s="90" t="s">
        <v>129</v>
      </c>
      <c r="C383" s="105">
        <f>F381/C382</f>
        <v>0.33661000000000002</v>
      </c>
      <c r="D383" s="12"/>
      <c r="E383" s="12"/>
      <c r="F383" s="12"/>
    </row>
    <row r="385" spans="1:6" s="19" customFormat="1" x14ac:dyDescent="0.2">
      <c r="A385" s="21" t="s">
        <v>155</v>
      </c>
      <c r="B385" s="21" t="s">
        <v>143</v>
      </c>
      <c r="C385" s="22"/>
      <c r="D385" s="21"/>
      <c r="E385" s="23"/>
      <c r="F385" s="23"/>
    </row>
    <row r="386" spans="1:6" ht="17" x14ac:dyDescent="0.2">
      <c r="A386" s="21"/>
      <c r="B386" s="21"/>
      <c r="C386" s="88" t="s">
        <v>82</v>
      </c>
      <c r="D386" s="88" t="s">
        <v>83</v>
      </c>
      <c r="E386" s="88" t="s">
        <v>84</v>
      </c>
      <c r="F386" s="88" t="s">
        <v>85</v>
      </c>
    </row>
    <row r="387" spans="1:6" x14ac:dyDescent="0.2">
      <c r="A387" s="21"/>
      <c r="B387" s="2" t="s">
        <v>355</v>
      </c>
      <c r="C387" s="6">
        <v>1</v>
      </c>
      <c r="D387" s="3" t="str">
        <f>VLOOKUP(B387,Produits!A:G,3,FALSE)</f>
        <v>Pièce</v>
      </c>
      <c r="E387" s="93">
        <f>VLOOKUP(B387,Produits!A:G,7,FALSE)</f>
        <v>0.19722499999999998</v>
      </c>
      <c r="F387" s="96">
        <f>E387*C387</f>
        <v>0.19722499999999998</v>
      </c>
    </row>
    <row r="388" spans="1:6" x14ac:dyDescent="0.2">
      <c r="A388" s="21"/>
      <c r="B388" s="2" t="s">
        <v>106</v>
      </c>
      <c r="C388" s="6">
        <v>0.02</v>
      </c>
      <c r="D388" s="3" t="str">
        <f>VLOOKUP(B388,Produits!A:G,3,FALSE)</f>
        <v>Litre</v>
      </c>
      <c r="E388" s="93">
        <f>VLOOKUP(B388,Produits!A:G,7,FALSE)</f>
        <v>4.49</v>
      </c>
      <c r="F388" s="96">
        <f t="shared" ref="F388" si="45">E388*C388</f>
        <v>8.9800000000000005E-2</v>
      </c>
    </row>
    <row r="389" spans="1:6" x14ac:dyDescent="0.2">
      <c r="A389" s="21"/>
      <c r="B389" s="2" t="s">
        <v>168</v>
      </c>
      <c r="C389" s="6">
        <v>1</v>
      </c>
      <c r="D389" s="3" t="str">
        <f>VLOOKUP(B389,Produits!A:G,3,FALSE)</f>
        <v>Pièce</v>
      </c>
      <c r="E389" s="93">
        <f>VLOOKUP(B389,Produits!A:G,7,FALSE)</f>
        <v>0.33661000000000002</v>
      </c>
      <c r="F389" s="96">
        <f t="shared" ref="F389" si="46">E389*C389</f>
        <v>0.33661000000000002</v>
      </c>
    </row>
    <row r="390" spans="1:6" ht="17" x14ac:dyDescent="0.2">
      <c r="A390" s="21"/>
      <c r="B390" s="92" t="s">
        <v>86</v>
      </c>
      <c r="C390" s="95"/>
      <c r="D390" s="95"/>
      <c r="E390" s="95"/>
      <c r="F390" s="96">
        <f>SUM(F386:F389)</f>
        <v>0.62363499999999994</v>
      </c>
    </row>
    <row r="391" spans="1:6" x14ac:dyDescent="0.2">
      <c r="A391" s="21"/>
      <c r="B391" s="89" t="s">
        <v>138</v>
      </c>
      <c r="C391" s="6">
        <v>1</v>
      </c>
      <c r="D391" s="21"/>
      <c r="E391" s="21"/>
      <c r="F391" s="21"/>
    </row>
    <row r="392" spans="1:6" s="15" customFormat="1" x14ac:dyDescent="0.2">
      <c r="A392" s="21"/>
      <c r="B392" s="89" t="s">
        <v>129</v>
      </c>
      <c r="C392" s="97">
        <f>F390/C391</f>
        <v>0.62363499999999994</v>
      </c>
      <c r="D392" s="21"/>
      <c r="E392" s="21"/>
      <c r="F392" s="21"/>
    </row>
    <row r="394" spans="1:6" s="19" customFormat="1" x14ac:dyDescent="0.2">
      <c r="A394" s="12" t="s">
        <v>115</v>
      </c>
      <c r="B394" s="12" t="s">
        <v>169</v>
      </c>
      <c r="C394" s="13"/>
      <c r="D394" s="12"/>
      <c r="E394" s="14"/>
      <c r="F394" s="14"/>
    </row>
    <row r="395" spans="1:6" ht="17" x14ac:dyDescent="0.2">
      <c r="A395" s="12"/>
      <c r="B395" s="12"/>
      <c r="C395" s="88" t="s">
        <v>82</v>
      </c>
      <c r="D395" s="88" t="s">
        <v>83</v>
      </c>
      <c r="E395" s="88" t="s">
        <v>84</v>
      </c>
      <c r="F395" s="88" t="s">
        <v>85</v>
      </c>
    </row>
    <row r="396" spans="1:6" x14ac:dyDescent="0.2">
      <c r="A396" s="12"/>
      <c r="B396" s="2" t="s">
        <v>58</v>
      </c>
      <c r="C396" s="6">
        <v>0.5</v>
      </c>
      <c r="D396" s="3" t="str">
        <f>VLOOKUP(B396,Produits!A:G,3,FALSE)</f>
        <v>Kilogramme</v>
      </c>
      <c r="E396" s="93">
        <f>VLOOKUP(B396,Produits!A:G,7,FALSE)</f>
        <v>2.6749999999999998</v>
      </c>
      <c r="F396" s="96">
        <f t="shared" ref="F396:F398" si="47">E396*C396</f>
        <v>1.3374999999999999</v>
      </c>
    </row>
    <row r="397" spans="1:6" x14ac:dyDescent="0.2">
      <c r="A397" s="12"/>
      <c r="B397" s="2" t="s">
        <v>65</v>
      </c>
      <c r="C397" s="6">
        <v>0.05</v>
      </c>
      <c r="D397" s="3" t="str">
        <f>VLOOKUP(B397,Produits!A:G,3,FALSE)</f>
        <v>Kilogramme</v>
      </c>
      <c r="E397" s="93">
        <f>VLOOKUP(B397,Produits!A:G,7,FALSE)</f>
        <v>1.85</v>
      </c>
      <c r="F397" s="96">
        <f t="shared" si="47"/>
        <v>9.2500000000000013E-2</v>
      </c>
    </row>
    <row r="398" spans="1:6" x14ac:dyDescent="0.2">
      <c r="A398" s="12"/>
      <c r="B398" s="2" t="s">
        <v>15</v>
      </c>
      <c r="C398" s="6">
        <v>0.02</v>
      </c>
      <c r="D398" s="3" t="str">
        <f>VLOOKUP(B398,Produits!A:G,3,FALSE)</f>
        <v>Kilogramme</v>
      </c>
      <c r="E398" s="93">
        <f>VLOOKUP(B398,Produits!A:G,7,FALSE)</f>
        <v>9.58</v>
      </c>
      <c r="F398" s="96">
        <f t="shared" si="47"/>
        <v>0.19159999999999999</v>
      </c>
    </row>
    <row r="399" spans="1:6" ht="17" x14ac:dyDescent="0.2">
      <c r="A399" s="12"/>
      <c r="B399" s="91" t="s">
        <v>86</v>
      </c>
      <c r="C399" s="104"/>
      <c r="D399" s="95"/>
      <c r="E399" s="95"/>
      <c r="F399" s="96">
        <f>SUM(F396:F398)</f>
        <v>1.6215999999999999</v>
      </c>
    </row>
    <row r="400" spans="1:6" x14ac:dyDescent="0.2">
      <c r="A400" s="12"/>
      <c r="B400" s="90" t="s">
        <v>138</v>
      </c>
      <c r="C400" s="105">
        <v>10</v>
      </c>
      <c r="D400" s="12"/>
      <c r="E400" s="12"/>
      <c r="F400" s="12"/>
    </row>
    <row r="401" spans="1:6" s="15" customFormat="1" x14ac:dyDescent="0.2">
      <c r="A401" s="12"/>
      <c r="B401" s="90" t="s">
        <v>129</v>
      </c>
      <c r="C401" s="105">
        <f>F399/C400</f>
        <v>0.16216</v>
      </c>
      <c r="D401" s="12"/>
      <c r="E401" s="12"/>
      <c r="F401" s="12"/>
    </row>
    <row r="403" spans="1:6" s="19" customFormat="1" x14ac:dyDescent="0.2">
      <c r="A403" s="27" t="s">
        <v>156</v>
      </c>
      <c r="B403" s="27" t="s">
        <v>144</v>
      </c>
      <c r="C403" s="28"/>
      <c r="D403" s="27"/>
      <c r="E403" s="29"/>
      <c r="F403" s="29"/>
    </row>
    <row r="404" spans="1:6" ht="17" x14ac:dyDescent="0.2">
      <c r="A404" s="28"/>
      <c r="B404" s="28"/>
      <c r="C404" s="88" t="s">
        <v>82</v>
      </c>
      <c r="D404" s="88" t="s">
        <v>83</v>
      </c>
      <c r="E404" s="88" t="s">
        <v>84</v>
      </c>
      <c r="F404" s="88" t="s">
        <v>85</v>
      </c>
    </row>
    <row r="405" spans="1:6" x14ac:dyDescent="0.2">
      <c r="A405" s="28"/>
      <c r="B405" s="2" t="s">
        <v>355</v>
      </c>
      <c r="C405" s="6">
        <v>1</v>
      </c>
      <c r="D405" s="3" t="str">
        <f>VLOOKUP(B405,Produits!A:G,3,FALSE)</f>
        <v>Pièce</v>
      </c>
      <c r="E405" s="93">
        <f>VLOOKUP(B405,Produits!A:G,7,FALSE)</f>
        <v>0.19722499999999998</v>
      </c>
      <c r="F405" s="96">
        <f>E405*C405</f>
        <v>0.19722499999999998</v>
      </c>
    </row>
    <row r="406" spans="1:6" x14ac:dyDescent="0.2">
      <c r="A406" s="28"/>
      <c r="B406" s="2" t="s">
        <v>52</v>
      </c>
      <c r="C406" s="6">
        <v>0.02</v>
      </c>
      <c r="D406" s="3" t="str">
        <f>VLOOKUP(B406,Produits!A:G,3,FALSE)</f>
        <v>Kilogramme</v>
      </c>
      <c r="E406" s="93">
        <f>VLOOKUP(B406,Produits!A:G,7,FALSE)</f>
        <v>12</v>
      </c>
      <c r="F406" s="96">
        <f t="shared" ref="F406:F407" si="48">E406*C406</f>
        <v>0.24</v>
      </c>
    </row>
    <row r="407" spans="1:6" x14ac:dyDescent="0.2">
      <c r="A407" s="28"/>
      <c r="B407" s="2" t="s">
        <v>106</v>
      </c>
      <c r="C407" s="6">
        <v>0.02</v>
      </c>
      <c r="D407" s="3" t="str">
        <f>VLOOKUP(B407,Produits!A:G,3,FALSE)</f>
        <v>Litre</v>
      </c>
      <c r="E407" s="93">
        <f>VLOOKUP(B407,Produits!A:G,7,FALSE)</f>
        <v>4.49</v>
      </c>
      <c r="F407" s="96">
        <f t="shared" si="48"/>
        <v>8.9800000000000005E-2</v>
      </c>
    </row>
    <row r="408" spans="1:6" ht="17" x14ac:dyDescent="0.2">
      <c r="A408" s="28"/>
      <c r="B408" s="91" t="s">
        <v>86</v>
      </c>
      <c r="C408" s="104"/>
      <c r="D408" s="95"/>
      <c r="E408" s="95"/>
      <c r="F408" s="96">
        <f>SUM(F404:F407)</f>
        <v>0.52702499999999997</v>
      </c>
    </row>
    <row r="409" spans="1:6" x14ac:dyDescent="0.2">
      <c r="A409" s="28"/>
      <c r="B409" s="90" t="s">
        <v>138</v>
      </c>
      <c r="C409" s="6">
        <v>1</v>
      </c>
      <c r="D409" s="28"/>
      <c r="E409" s="28"/>
      <c r="F409" s="28"/>
    </row>
    <row r="410" spans="1:6" s="15" customFormat="1" x14ac:dyDescent="0.2">
      <c r="A410" s="28"/>
      <c r="B410" s="90" t="s">
        <v>129</v>
      </c>
      <c r="C410" s="105">
        <f>F408/C409</f>
        <v>0.52702499999999997</v>
      </c>
      <c r="D410" s="28"/>
      <c r="E410" s="28"/>
      <c r="F410" s="28"/>
    </row>
    <row r="412" spans="1:6" s="19" customFormat="1" x14ac:dyDescent="0.2">
      <c r="A412" s="27" t="s">
        <v>156</v>
      </c>
      <c r="B412" s="27" t="s">
        <v>145</v>
      </c>
      <c r="C412" s="28"/>
      <c r="D412" s="27"/>
      <c r="E412" s="29"/>
      <c r="F412" s="29"/>
    </row>
    <row r="413" spans="1:6" ht="17" x14ac:dyDescent="0.2">
      <c r="A413" s="28"/>
      <c r="B413" s="28"/>
      <c r="C413" s="88" t="s">
        <v>82</v>
      </c>
      <c r="D413" s="88" t="s">
        <v>83</v>
      </c>
      <c r="E413" s="88" t="s">
        <v>84</v>
      </c>
      <c r="F413" s="88" t="s">
        <v>85</v>
      </c>
    </row>
    <row r="414" spans="1:6" x14ac:dyDescent="0.2">
      <c r="A414" s="28"/>
      <c r="B414" s="2" t="s">
        <v>355</v>
      </c>
      <c r="C414" s="6">
        <v>1</v>
      </c>
      <c r="D414" s="3" t="str">
        <f>VLOOKUP(B414,Produits!A:G,3,FALSE)</f>
        <v>Pièce</v>
      </c>
      <c r="E414" s="93">
        <f>VLOOKUP(B414,Produits!A:G,7,FALSE)</f>
        <v>0.19722499999999998</v>
      </c>
      <c r="F414" s="96">
        <f>E414*C414</f>
        <v>0.19722499999999998</v>
      </c>
    </row>
    <row r="415" spans="1:6" x14ac:dyDescent="0.2">
      <c r="A415" s="28"/>
      <c r="B415" s="2" t="s">
        <v>169</v>
      </c>
      <c r="C415" s="6">
        <v>1</v>
      </c>
      <c r="D415" s="3" t="str">
        <f>VLOOKUP(B415,Produits!A:G,3,FALSE)</f>
        <v>Pièce</v>
      </c>
      <c r="E415" s="93">
        <f>VLOOKUP(B415,Produits!A:G,7,FALSE)</f>
        <v>0.16216</v>
      </c>
      <c r="F415" s="96">
        <f t="shared" ref="F415:F416" si="49">E415*C415</f>
        <v>0.16216</v>
      </c>
    </row>
    <row r="416" spans="1:6" x14ac:dyDescent="0.2">
      <c r="A416" s="28"/>
      <c r="B416" s="2" t="s">
        <v>53</v>
      </c>
      <c r="C416" s="6">
        <v>0.02</v>
      </c>
      <c r="D416" s="3" t="str">
        <f>VLOOKUP(B416,Produits!A:G,3,FALSE)</f>
        <v>Litre</v>
      </c>
      <c r="E416" s="93">
        <f>VLOOKUP(B416,Produits!A:G,7,FALSE)</f>
        <v>22.76</v>
      </c>
      <c r="F416" s="96">
        <f t="shared" si="49"/>
        <v>0.45520000000000005</v>
      </c>
    </row>
    <row r="417" spans="1:6" ht="17" x14ac:dyDescent="0.2">
      <c r="A417" s="28"/>
      <c r="B417" s="91" t="s">
        <v>86</v>
      </c>
      <c r="C417" s="104"/>
      <c r="D417" s="95"/>
      <c r="E417" s="95"/>
      <c r="F417" s="96">
        <f>SUM(F413:F416)</f>
        <v>0.814585</v>
      </c>
    </row>
    <row r="418" spans="1:6" x14ac:dyDescent="0.2">
      <c r="A418" s="28"/>
      <c r="B418" s="90" t="s">
        <v>138</v>
      </c>
      <c r="C418" s="6">
        <v>1</v>
      </c>
      <c r="D418" s="28"/>
      <c r="E418" s="28"/>
      <c r="F418" s="28"/>
    </row>
    <row r="419" spans="1:6" s="15" customFormat="1" x14ac:dyDescent="0.2">
      <c r="A419" s="28"/>
      <c r="B419" s="90" t="s">
        <v>129</v>
      </c>
      <c r="C419" s="105">
        <f>F417/C418</f>
        <v>0.814585</v>
      </c>
      <c r="D419" s="28"/>
      <c r="E419" s="28"/>
      <c r="F419" s="28"/>
    </row>
    <row r="421" spans="1:6" s="19" customFormat="1" x14ac:dyDescent="0.2">
      <c r="A421" s="27" t="s">
        <v>156</v>
      </c>
      <c r="B421" s="27" t="s">
        <v>146</v>
      </c>
      <c r="C421" s="28"/>
      <c r="D421" s="27"/>
      <c r="E421" s="29"/>
      <c r="F421" s="29"/>
    </row>
    <row r="422" spans="1:6" ht="17" x14ac:dyDescent="0.2">
      <c r="A422" s="28"/>
      <c r="B422" s="28"/>
      <c r="C422" s="88" t="s">
        <v>82</v>
      </c>
      <c r="D422" s="88" t="s">
        <v>83</v>
      </c>
      <c r="E422" s="88" t="s">
        <v>84</v>
      </c>
      <c r="F422" s="88" t="s">
        <v>85</v>
      </c>
    </row>
    <row r="423" spans="1:6" x14ac:dyDescent="0.2">
      <c r="A423" s="28"/>
      <c r="B423" s="2" t="s">
        <v>355</v>
      </c>
      <c r="C423" s="6">
        <v>1</v>
      </c>
      <c r="D423" s="3" t="str">
        <f>VLOOKUP(B423,Produits!A:G,3,FALSE)</f>
        <v>Pièce</v>
      </c>
      <c r="E423" s="93">
        <f>VLOOKUP(B423,Produits!A:G,7,FALSE)</f>
        <v>0.19722499999999998</v>
      </c>
      <c r="F423" s="96">
        <f>E423*C423</f>
        <v>0.19722499999999998</v>
      </c>
    </row>
    <row r="424" spans="1:6" x14ac:dyDescent="0.2">
      <c r="A424" s="28"/>
      <c r="B424" s="2" t="s">
        <v>54</v>
      </c>
      <c r="C424" s="6">
        <v>0.3</v>
      </c>
      <c r="D424" s="3" t="str">
        <f>VLOOKUP(B424,Produits!A:G,3,FALSE)</f>
        <v>Pièce</v>
      </c>
      <c r="E424" s="93">
        <f>VLOOKUP(B424,Produits!A:G,7,FALSE)</f>
        <v>0.9</v>
      </c>
      <c r="F424" s="96">
        <f t="shared" ref="F424:F426" si="50">E424*C424</f>
        <v>0.27</v>
      </c>
    </row>
    <row r="425" spans="1:6" x14ac:dyDescent="0.2">
      <c r="A425" s="28"/>
      <c r="B425" s="2" t="s">
        <v>55</v>
      </c>
      <c r="C425" s="6">
        <v>0.3</v>
      </c>
      <c r="D425" s="3" t="str">
        <f>VLOOKUP(B425,Produits!A:G,3,FALSE)</f>
        <v>Pièce</v>
      </c>
      <c r="E425" s="93">
        <f>VLOOKUP(B425,Produits!A:G,7,FALSE)</f>
        <v>0.69666666666666666</v>
      </c>
      <c r="F425" s="96">
        <f t="shared" ref="F425" si="51">E425*C425</f>
        <v>0.20899999999999999</v>
      </c>
    </row>
    <row r="426" spans="1:6" x14ac:dyDescent="0.2">
      <c r="A426" s="28"/>
      <c r="B426" s="2" t="s">
        <v>106</v>
      </c>
      <c r="C426" s="6">
        <v>0.02</v>
      </c>
      <c r="D426" s="3" t="str">
        <f>VLOOKUP(B426,Produits!A:G,3,FALSE)</f>
        <v>Litre</v>
      </c>
      <c r="E426" s="93">
        <f>VLOOKUP(B426,Produits!A:G,7,FALSE)</f>
        <v>4.49</v>
      </c>
      <c r="F426" s="96">
        <f t="shared" si="50"/>
        <v>8.9800000000000005E-2</v>
      </c>
    </row>
    <row r="427" spans="1:6" ht="17" x14ac:dyDescent="0.2">
      <c r="A427" s="28"/>
      <c r="B427" s="91" t="s">
        <v>86</v>
      </c>
      <c r="C427" s="104"/>
      <c r="D427" s="95"/>
      <c r="E427" s="95"/>
      <c r="F427" s="96">
        <f>SUM(F422:F426)</f>
        <v>0.76602499999999996</v>
      </c>
    </row>
    <row r="428" spans="1:6" x14ac:dyDescent="0.2">
      <c r="A428" s="28"/>
      <c r="B428" s="90" t="s">
        <v>138</v>
      </c>
      <c r="C428" s="6">
        <v>1</v>
      </c>
      <c r="D428" s="28"/>
      <c r="E428" s="28"/>
      <c r="F428" s="28"/>
    </row>
    <row r="429" spans="1:6" s="15" customFormat="1" x14ac:dyDescent="0.2">
      <c r="A429" s="28"/>
      <c r="B429" s="90" t="s">
        <v>129</v>
      </c>
      <c r="C429" s="105">
        <f>F427/C428</f>
        <v>0.76602499999999996</v>
      </c>
      <c r="D429" s="28"/>
      <c r="E429" s="28"/>
      <c r="F429" s="28"/>
    </row>
    <row r="431" spans="1:6" s="19" customFormat="1" x14ac:dyDescent="0.2">
      <c r="A431" s="27" t="s">
        <v>156</v>
      </c>
      <c r="B431" s="27" t="s">
        <v>147</v>
      </c>
      <c r="C431" s="28"/>
      <c r="D431" s="27"/>
      <c r="E431" s="29"/>
      <c r="F431" s="29"/>
    </row>
    <row r="432" spans="1:6" ht="17" x14ac:dyDescent="0.2">
      <c r="A432" s="28"/>
      <c r="B432" s="28"/>
      <c r="C432" s="88" t="s">
        <v>82</v>
      </c>
      <c r="D432" s="88" t="s">
        <v>83</v>
      </c>
      <c r="E432" s="88" t="s">
        <v>84</v>
      </c>
      <c r="F432" s="88" t="s">
        <v>85</v>
      </c>
    </row>
    <row r="433" spans="1:6" x14ac:dyDescent="0.2">
      <c r="A433" s="28"/>
      <c r="B433" s="2" t="s">
        <v>355</v>
      </c>
      <c r="C433" s="6">
        <v>1</v>
      </c>
      <c r="D433" s="3" t="str">
        <f>VLOOKUP(B433,Produits!A:G,3,FALSE)</f>
        <v>Pièce</v>
      </c>
      <c r="E433" s="93">
        <f>VLOOKUP(B433,Produits!A:G,7,FALSE)</f>
        <v>0.19722499999999998</v>
      </c>
      <c r="F433" s="96">
        <f>E433*C433</f>
        <v>0.19722499999999998</v>
      </c>
    </row>
    <row r="434" spans="1:6" x14ac:dyDescent="0.2">
      <c r="A434" s="28"/>
      <c r="B434" s="2" t="s">
        <v>68</v>
      </c>
      <c r="C434" s="6">
        <v>0.02</v>
      </c>
      <c r="D434" s="3" t="str">
        <f>VLOOKUP(B434,Produits!A:G,3,FALSE)</f>
        <v>Litre</v>
      </c>
      <c r="E434" s="93">
        <f>VLOOKUP(B434,Produits!A:G,7,FALSE)</f>
        <v>33.414285714285718</v>
      </c>
      <c r="F434" s="96">
        <f t="shared" ref="F434:F436" si="52">E434*C434</f>
        <v>0.66828571428571437</v>
      </c>
    </row>
    <row r="435" spans="1:6" x14ac:dyDescent="0.2">
      <c r="A435" s="28"/>
      <c r="B435" s="2" t="s">
        <v>65</v>
      </c>
      <c r="C435" s="6">
        <v>0.02</v>
      </c>
      <c r="D435" s="3" t="str">
        <f>VLOOKUP(B435,Produits!A:G,3,FALSE)</f>
        <v>Kilogramme</v>
      </c>
      <c r="E435" s="93">
        <f>VLOOKUP(B435,Produits!A:G,7,FALSE)</f>
        <v>1.85</v>
      </c>
      <c r="F435" s="96">
        <f t="shared" ref="F435" si="53">E435*C435</f>
        <v>3.7000000000000005E-2</v>
      </c>
    </row>
    <row r="436" spans="1:6" x14ac:dyDescent="0.2">
      <c r="A436" s="28"/>
      <c r="B436" s="2" t="s">
        <v>15</v>
      </c>
      <c r="C436" s="6">
        <v>0.02</v>
      </c>
      <c r="D436" s="3" t="str">
        <f>VLOOKUP(B436,Produits!A:G,3,FALSE)</f>
        <v>Kilogramme</v>
      </c>
      <c r="E436" s="93">
        <f>VLOOKUP(B436,Produits!A:G,7,FALSE)</f>
        <v>9.58</v>
      </c>
      <c r="F436" s="96">
        <f t="shared" si="52"/>
        <v>0.19159999999999999</v>
      </c>
    </row>
    <row r="437" spans="1:6" ht="17" x14ac:dyDescent="0.2">
      <c r="A437" s="28"/>
      <c r="B437" s="91" t="s">
        <v>86</v>
      </c>
      <c r="C437" s="104"/>
      <c r="D437" s="95"/>
      <c r="E437" s="95"/>
      <c r="F437" s="96">
        <f>SUM(F432:F436)</f>
        <v>1.0941107142857143</v>
      </c>
    </row>
    <row r="438" spans="1:6" x14ac:dyDescent="0.2">
      <c r="A438" s="28"/>
      <c r="B438" s="90" t="s">
        <v>138</v>
      </c>
      <c r="C438" s="6">
        <v>1</v>
      </c>
      <c r="D438" s="28"/>
      <c r="E438" s="28"/>
      <c r="F438" s="28"/>
    </row>
    <row r="439" spans="1:6" s="15" customFormat="1" x14ac:dyDescent="0.2">
      <c r="A439" s="28"/>
      <c r="B439" s="90" t="s">
        <v>129</v>
      </c>
      <c r="C439" s="105">
        <f>F437/C438</f>
        <v>1.0941107142857143</v>
      </c>
      <c r="D439" s="28"/>
      <c r="E439" s="28"/>
      <c r="F439" s="28"/>
    </row>
    <row r="441" spans="1:6" s="19" customFormat="1" x14ac:dyDescent="0.2">
      <c r="A441" s="27" t="s">
        <v>156</v>
      </c>
      <c r="B441" s="27" t="s">
        <v>148</v>
      </c>
      <c r="C441" s="28"/>
      <c r="D441" s="27"/>
      <c r="E441" s="29"/>
      <c r="F441" s="29"/>
    </row>
    <row r="442" spans="1:6" ht="17" x14ac:dyDescent="0.2">
      <c r="A442" s="28"/>
      <c r="B442" s="28"/>
      <c r="C442" s="88" t="s">
        <v>82</v>
      </c>
      <c r="D442" s="88" t="s">
        <v>83</v>
      </c>
      <c r="E442" s="88" t="s">
        <v>84</v>
      </c>
      <c r="F442" s="88" t="s">
        <v>85</v>
      </c>
    </row>
    <row r="443" spans="1:6" x14ac:dyDescent="0.2">
      <c r="A443" s="28"/>
      <c r="B443" s="2" t="s">
        <v>355</v>
      </c>
      <c r="C443" s="6">
        <v>1</v>
      </c>
      <c r="D443" s="3" t="str">
        <f>VLOOKUP(B443,Produits!A:G,3,FALSE)</f>
        <v>Pièce</v>
      </c>
      <c r="E443" s="93">
        <f>VLOOKUP(B443,Produits!A:G,7,FALSE)</f>
        <v>0.19722499999999998</v>
      </c>
      <c r="F443" s="96">
        <f>E443*C443</f>
        <v>0.19722499999999998</v>
      </c>
    </row>
    <row r="444" spans="1:6" x14ac:dyDescent="0.2">
      <c r="A444" s="28"/>
      <c r="B444" s="2" t="s">
        <v>68</v>
      </c>
      <c r="C444" s="6">
        <v>0.02</v>
      </c>
      <c r="D444" s="3" t="str">
        <f>VLOOKUP(B444,Produits!A:G,3,FALSE)</f>
        <v>Litre</v>
      </c>
      <c r="E444" s="93">
        <f>VLOOKUP(B444,Produits!A:G,7,FALSE)</f>
        <v>33.414285714285718</v>
      </c>
      <c r="F444" s="96">
        <f t="shared" ref="F444:F446" si="54">E444*C444</f>
        <v>0.66828571428571437</v>
      </c>
    </row>
    <row r="445" spans="1:6" x14ac:dyDescent="0.2">
      <c r="A445" s="28"/>
      <c r="B445" s="2" t="s">
        <v>65</v>
      </c>
      <c r="C445" s="6">
        <v>0.02</v>
      </c>
      <c r="D445" s="3" t="str">
        <f>VLOOKUP(B445,Produits!A:G,3,FALSE)</f>
        <v>Kilogramme</v>
      </c>
      <c r="E445" s="93">
        <f>VLOOKUP(B445,Produits!A:G,7,FALSE)</f>
        <v>1.85</v>
      </c>
      <c r="F445" s="96">
        <f t="shared" si="54"/>
        <v>3.7000000000000005E-2</v>
      </c>
    </row>
    <row r="446" spans="1:6" x14ac:dyDescent="0.2">
      <c r="A446" s="28"/>
      <c r="B446" s="2" t="s">
        <v>15</v>
      </c>
      <c r="C446" s="6">
        <v>0.02</v>
      </c>
      <c r="D446" s="3" t="str">
        <f>VLOOKUP(B446,Produits!A:G,3,FALSE)</f>
        <v>Kilogramme</v>
      </c>
      <c r="E446" s="93">
        <f>VLOOKUP(B446,Produits!A:G,7,FALSE)</f>
        <v>9.58</v>
      </c>
      <c r="F446" s="96">
        <f t="shared" si="54"/>
        <v>0.19159999999999999</v>
      </c>
    </row>
    <row r="447" spans="1:6" ht="17" x14ac:dyDescent="0.2">
      <c r="A447" s="28"/>
      <c r="B447" s="91" t="s">
        <v>86</v>
      </c>
      <c r="C447" s="104"/>
      <c r="D447" s="95"/>
      <c r="E447" s="95"/>
      <c r="F447" s="96">
        <f>SUM(F442:F446)</f>
        <v>1.0941107142857143</v>
      </c>
    </row>
    <row r="448" spans="1:6" x14ac:dyDescent="0.2">
      <c r="A448" s="28"/>
      <c r="B448" s="90" t="s">
        <v>138</v>
      </c>
      <c r="C448" s="6">
        <v>1</v>
      </c>
      <c r="D448" s="28"/>
      <c r="E448" s="28"/>
      <c r="F448" s="28"/>
    </row>
    <row r="449" spans="1:6" s="15" customFormat="1" x14ac:dyDescent="0.2">
      <c r="A449" s="28"/>
      <c r="B449" s="90" t="s">
        <v>129</v>
      </c>
      <c r="C449" s="105">
        <f>F447/C448</f>
        <v>1.0941107142857143</v>
      </c>
      <c r="D449" s="28"/>
      <c r="E449" s="28"/>
      <c r="F449" s="28"/>
    </row>
    <row r="451" spans="1:6" s="19" customFormat="1" x14ac:dyDescent="0.2">
      <c r="A451" s="24" t="s">
        <v>153</v>
      </c>
      <c r="B451" s="24" t="s">
        <v>149</v>
      </c>
      <c r="C451" s="25"/>
      <c r="D451" s="24"/>
      <c r="E451" s="26"/>
      <c r="F451" s="26"/>
    </row>
    <row r="452" spans="1:6" ht="17" x14ac:dyDescent="0.2">
      <c r="A452" s="26"/>
      <c r="B452" s="26"/>
      <c r="C452" s="88" t="s">
        <v>82</v>
      </c>
      <c r="D452" s="88" t="s">
        <v>83</v>
      </c>
      <c r="E452" s="88" t="s">
        <v>84</v>
      </c>
      <c r="F452" s="88" t="s">
        <v>85</v>
      </c>
    </row>
    <row r="453" spans="1:6" x14ac:dyDescent="0.2">
      <c r="A453" s="26"/>
      <c r="B453" s="2" t="s">
        <v>69</v>
      </c>
      <c r="C453" s="6">
        <v>1.4999999999999999E-2</v>
      </c>
      <c r="D453" s="3" t="str">
        <f>VLOOKUP(B453,Produits!A:G,3,FALSE)</f>
        <v>Litre</v>
      </c>
      <c r="E453" s="93">
        <f>VLOOKUP(B453,Produits!A:G,7,FALSE)</f>
        <v>41.9</v>
      </c>
      <c r="F453" s="96">
        <f>E453*C453</f>
        <v>0.62849999999999995</v>
      </c>
    </row>
    <row r="454" spans="1:6" ht="17" x14ac:dyDescent="0.2">
      <c r="A454" s="26"/>
      <c r="B454" s="91" t="s">
        <v>86</v>
      </c>
      <c r="C454" s="104"/>
      <c r="D454" s="95"/>
      <c r="E454" s="95"/>
      <c r="F454" s="96">
        <f>SUM(F452:F453)</f>
        <v>0.62849999999999995</v>
      </c>
    </row>
    <row r="455" spans="1:6" x14ac:dyDescent="0.2">
      <c r="A455" s="26"/>
      <c r="B455" s="90" t="s">
        <v>138</v>
      </c>
      <c r="C455" s="6">
        <v>1</v>
      </c>
      <c r="D455" s="26"/>
      <c r="E455" s="26"/>
      <c r="F455" s="26"/>
    </row>
    <row r="456" spans="1:6" s="15" customFormat="1" x14ac:dyDescent="0.2">
      <c r="A456" s="26"/>
      <c r="B456" s="90" t="s">
        <v>129</v>
      </c>
      <c r="C456" s="105">
        <f>F454/C455</f>
        <v>0.62849999999999995</v>
      </c>
      <c r="D456" s="26"/>
      <c r="E456" s="26"/>
      <c r="F456" s="26"/>
    </row>
    <row r="458" spans="1:6" s="19" customFormat="1" x14ac:dyDescent="0.2">
      <c r="A458" s="24" t="s">
        <v>153</v>
      </c>
      <c r="B458" s="24" t="s">
        <v>150</v>
      </c>
      <c r="C458" s="25"/>
      <c r="D458" s="24"/>
      <c r="E458" s="26"/>
      <c r="F458" s="26"/>
    </row>
    <row r="459" spans="1:6" ht="17" x14ac:dyDescent="0.2">
      <c r="A459" s="26"/>
      <c r="B459" s="26"/>
      <c r="C459" s="88" t="s">
        <v>82</v>
      </c>
      <c r="D459" s="88" t="s">
        <v>83</v>
      </c>
      <c r="E459" s="88" t="s">
        <v>84</v>
      </c>
      <c r="F459" s="88" t="s">
        <v>85</v>
      </c>
    </row>
    <row r="460" spans="1:6" x14ac:dyDescent="0.2">
      <c r="A460" s="26"/>
      <c r="B460" s="2" t="s">
        <v>70</v>
      </c>
      <c r="C460" s="6">
        <v>0.02</v>
      </c>
      <c r="D460" s="3" t="str">
        <f>VLOOKUP(B460,Produits!A:G,3,FALSE)</f>
        <v>Kilogramme</v>
      </c>
      <c r="E460" s="93">
        <f>VLOOKUP(B460,Produits!A:G,7,FALSE)</f>
        <v>15.666666666666666</v>
      </c>
      <c r="F460" s="96">
        <f>E460*C460</f>
        <v>0.31333333333333335</v>
      </c>
    </row>
    <row r="461" spans="1:6" ht="17" x14ac:dyDescent="0.2">
      <c r="A461" s="26"/>
      <c r="B461" s="91" t="s">
        <v>86</v>
      </c>
      <c r="C461" s="104"/>
      <c r="D461" s="95"/>
      <c r="E461" s="95"/>
      <c r="F461" s="96">
        <f>SUM(F459:F460)</f>
        <v>0.31333333333333335</v>
      </c>
    </row>
    <row r="462" spans="1:6" x14ac:dyDescent="0.2">
      <c r="A462" s="26"/>
      <c r="B462" s="90" t="s">
        <v>138</v>
      </c>
      <c r="C462" s="6">
        <v>1</v>
      </c>
      <c r="D462" s="26"/>
      <c r="E462" s="26"/>
      <c r="F462" s="26"/>
    </row>
    <row r="463" spans="1:6" s="15" customFormat="1" x14ac:dyDescent="0.2">
      <c r="A463" s="26"/>
      <c r="B463" s="90" t="s">
        <v>129</v>
      </c>
      <c r="C463" s="105">
        <f>F461/C462</f>
        <v>0.31333333333333335</v>
      </c>
      <c r="D463" s="26"/>
      <c r="E463" s="26"/>
      <c r="F463" s="26"/>
    </row>
    <row r="465" spans="1:12" s="19" customFormat="1" x14ac:dyDescent="0.2">
      <c r="A465" s="24" t="s">
        <v>153</v>
      </c>
      <c r="B465" s="24" t="s">
        <v>151</v>
      </c>
      <c r="C465" s="25"/>
      <c r="D465" s="24"/>
      <c r="E465" s="26"/>
      <c r="F465" s="26"/>
    </row>
    <row r="466" spans="1:12" ht="17" x14ac:dyDescent="0.2">
      <c r="A466" s="26"/>
      <c r="B466" s="26"/>
      <c r="C466" s="88" t="s">
        <v>82</v>
      </c>
      <c r="D466" s="88" t="s">
        <v>83</v>
      </c>
      <c r="E466" s="88" t="s">
        <v>84</v>
      </c>
      <c r="F466" s="88" t="s">
        <v>85</v>
      </c>
    </row>
    <row r="467" spans="1:12" x14ac:dyDescent="0.2">
      <c r="A467" s="26"/>
      <c r="B467" s="2" t="s">
        <v>49</v>
      </c>
      <c r="C467" s="6">
        <v>0.01</v>
      </c>
      <c r="D467" s="3" t="str">
        <f>VLOOKUP(B467,Produits!A:G,3,FALSE)</f>
        <v>Kilogramme</v>
      </c>
      <c r="E467" s="93">
        <f>VLOOKUP(B467,Produits!A:G,7,FALSE)</f>
        <v>9.234</v>
      </c>
      <c r="F467" s="96">
        <f>E467*C467</f>
        <v>9.2340000000000005E-2</v>
      </c>
    </row>
    <row r="468" spans="1:12" x14ac:dyDescent="0.2">
      <c r="A468" s="26"/>
      <c r="B468" s="2" t="s">
        <v>8</v>
      </c>
      <c r="C468" s="6">
        <v>0.02</v>
      </c>
      <c r="D468" s="3" t="str">
        <f>VLOOKUP(B468,Produits!A:G,3,FALSE)</f>
        <v>Litre</v>
      </c>
      <c r="E468" s="93">
        <f>VLOOKUP(B468,Produits!A:G,7,FALSE)</f>
        <v>1.46</v>
      </c>
      <c r="F468" s="96">
        <f t="shared" ref="F468" si="55">E468*C468</f>
        <v>2.92E-2</v>
      </c>
    </row>
    <row r="469" spans="1:12" ht="17" x14ac:dyDescent="0.2">
      <c r="A469" s="26"/>
      <c r="B469" s="91" t="s">
        <v>86</v>
      </c>
      <c r="C469" s="104"/>
      <c r="D469" s="95"/>
      <c r="E469" s="95"/>
      <c r="F469" s="96">
        <f>SUM(F466:F468)</f>
        <v>0.12154000000000001</v>
      </c>
    </row>
    <row r="470" spans="1:12" x14ac:dyDescent="0.2">
      <c r="A470" s="26"/>
      <c r="B470" s="90" t="s">
        <v>138</v>
      </c>
      <c r="C470" s="105">
        <v>1</v>
      </c>
      <c r="D470" s="26"/>
      <c r="E470" s="26"/>
      <c r="F470" s="26"/>
    </row>
    <row r="471" spans="1:12" s="15" customFormat="1" x14ac:dyDescent="0.2">
      <c r="A471" s="26"/>
      <c r="B471" s="90" t="s">
        <v>129</v>
      </c>
      <c r="C471" s="105">
        <f>F469/C470</f>
        <v>0.12154000000000001</v>
      </c>
      <c r="D471" s="26"/>
      <c r="E471" s="26"/>
      <c r="F471" s="26"/>
    </row>
    <row r="473" spans="1:12" s="19" customFormat="1" x14ac:dyDescent="0.2">
      <c r="A473" s="24" t="s">
        <v>153</v>
      </c>
      <c r="B473" s="24" t="s">
        <v>56</v>
      </c>
      <c r="C473" s="25"/>
      <c r="D473" s="24"/>
      <c r="E473" s="26"/>
      <c r="F473" s="26"/>
      <c r="L473" s="15"/>
    </row>
    <row r="474" spans="1:12" ht="17" x14ac:dyDescent="0.2">
      <c r="A474" s="26"/>
      <c r="B474" s="26"/>
      <c r="C474" s="88" t="s">
        <v>82</v>
      </c>
      <c r="D474" s="88" t="s">
        <v>83</v>
      </c>
      <c r="E474" s="88" t="s">
        <v>84</v>
      </c>
      <c r="F474" s="88" t="s">
        <v>85</v>
      </c>
    </row>
    <row r="475" spans="1:12" x14ac:dyDescent="0.2">
      <c r="A475" s="26"/>
      <c r="B475" s="2" t="s">
        <v>75</v>
      </c>
      <c r="C475" s="6">
        <v>1</v>
      </c>
      <c r="D475" s="3" t="str">
        <f>VLOOKUP(B475,Produits!A:G,3,FALSE)</f>
        <v>Pièce</v>
      </c>
      <c r="E475" s="93">
        <f>VLOOKUP(B475,Produits!A:G,7,FALSE)</f>
        <v>9.4E-2</v>
      </c>
      <c r="F475" s="96">
        <f>E475*C475</f>
        <v>9.4E-2</v>
      </c>
    </row>
    <row r="476" spans="1:12" x14ac:dyDescent="0.2">
      <c r="A476" s="26"/>
      <c r="B476" s="2" t="s">
        <v>74</v>
      </c>
      <c r="C476" s="6">
        <v>1</v>
      </c>
      <c r="D476" s="3" t="str">
        <f>VLOOKUP(B476,Produits!A:G,3,FALSE)</f>
        <v>Pièce</v>
      </c>
      <c r="E476" s="93">
        <f>VLOOKUP(B476,Produits!A:G,7,FALSE)</f>
        <v>0.13750000000000001</v>
      </c>
      <c r="F476" s="96">
        <f t="shared" ref="F476:F479" si="56">E476*C476</f>
        <v>0.13750000000000001</v>
      </c>
    </row>
    <row r="477" spans="1:12" x14ac:dyDescent="0.2">
      <c r="A477" s="26"/>
      <c r="B477" s="2" t="s">
        <v>76</v>
      </c>
      <c r="C477" s="6">
        <v>1</v>
      </c>
      <c r="D477" s="3" t="str">
        <f>VLOOKUP(B477,Produits!A:G,3,FALSE)</f>
        <v>Pièce</v>
      </c>
      <c r="E477" s="93">
        <f>VLOOKUP(B477,Produits!A:G,7,FALSE)</f>
        <v>4.8437500000000001E-2</v>
      </c>
      <c r="F477" s="96">
        <f t="shared" ref="F477:F478" si="57">E477*C477</f>
        <v>4.8437500000000001E-2</v>
      </c>
    </row>
    <row r="478" spans="1:12" x14ac:dyDescent="0.2">
      <c r="A478" s="26"/>
      <c r="B478" s="2" t="s">
        <v>77</v>
      </c>
      <c r="C478" s="6">
        <v>1</v>
      </c>
      <c r="D478" s="3" t="str">
        <f>VLOOKUP(B478,Produits!A:G,3,FALSE)</f>
        <v>Pièce</v>
      </c>
      <c r="E478" s="93">
        <f>VLOOKUP(B478,Produits!A:G,7,FALSE)</f>
        <v>9.2499999999999999E-2</v>
      </c>
      <c r="F478" s="96">
        <f t="shared" si="57"/>
        <v>9.2499999999999999E-2</v>
      </c>
    </row>
    <row r="479" spans="1:12" x14ac:dyDescent="0.2">
      <c r="A479" s="26"/>
      <c r="B479" s="2" t="s">
        <v>73</v>
      </c>
      <c r="C479" s="6">
        <v>1</v>
      </c>
      <c r="D479" s="3" t="str">
        <f>VLOOKUP(B479,Produits!A:G,3,FALSE)</f>
        <v>Pièce</v>
      </c>
      <c r="E479" s="93">
        <f>VLOOKUP(B479,Produits!A:G,7,FALSE)</f>
        <v>0.13750000000000001</v>
      </c>
      <c r="F479" s="96">
        <f t="shared" si="56"/>
        <v>0.13750000000000001</v>
      </c>
    </row>
    <row r="480" spans="1:12" ht="17" x14ac:dyDescent="0.2">
      <c r="A480" s="26"/>
      <c r="B480" s="91" t="s">
        <v>86</v>
      </c>
      <c r="C480" s="104"/>
      <c r="D480" s="95"/>
      <c r="E480" s="95"/>
      <c r="F480" s="96">
        <f>SUM(F474:F479)</f>
        <v>0.50993749999999993</v>
      </c>
    </row>
    <row r="481" spans="1:6" x14ac:dyDescent="0.2">
      <c r="A481" s="26"/>
      <c r="B481" s="90" t="s">
        <v>138</v>
      </c>
      <c r="C481" s="6">
        <v>5</v>
      </c>
      <c r="D481" s="26"/>
      <c r="E481" s="26"/>
      <c r="F481" s="26"/>
    </row>
    <row r="482" spans="1:6" s="15" customFormat="1" x14ac:dyDescent="0.2">
      <c r="A482" s="26"/>
      <c r="B482" s="90" t="s">
        <v>129</v>
      </c>
      <c r="C482" s="105">
        <f>F480/C481</f>
        <v>0.10198749999999998</v>
      </c>
      <c r="D482" s="26"/>
      <c r="E482" s="26"/>
      <c r="F482" s="26"/>
    </row>
    <row r="484" spans="1:6" s="19" customFormat="1" x14ac:dyDescent="0.2">
      <c r="A484" s="24" t="s">
        <v>153</v>
      </c>
      <c r="B484" s="24" t="s">
        <v>152</v>
      </c>
      <c r="C484" s="25"/>
      <c r="D484" s="24"/>
      <c r="E484" s="26"/>
      <c r="F484" s="26"/>
    </row>
    <row r="485" spans="1:6" ht="17" x14ac:dyDescent="0.2">
      <c r="A485" s="26"/>
      <c r="B485" s="26"/>
      <c r="C485" s="88" t="s">
        <v>82</v>
      </c>
      <c r="D485" s="88" t="s">
        <v>83</v>
      </c>
      <c r="E485" s="88" t="s">
        <v>84</v>
      </c>
      <c r="F485" s="88" t="s">
        <v>85</v>
      </c>
    </row>
    <row r="486" spans="1:6" x14ac:dyDescent="0.2">
      <c r="A486" s="26"/>
      <c r="B486" s="2" t="s">
        <v>57</v>
      </c>
      <c r="C486" s="6">
        <v>0.02</v>
      </c>
      <c r="D486" s="3" t="str">
        <f>VLOOKUP(B486,Produits!A:G,3,FALSE)</f>
        <v>Litre</v>
      </c>
      <c r="E486" s="93">
        <f>VLOOKUP(B486,Produits!A:G,7,FALSE)</f>
        <v>12.733333333333334</v>
      </c>
      <c r="F486" s="96">
        <f>E486*C486</f>
        <v>0.25466666666666671</v>
      </c>
    </row>
    <row r="487" spans="1:6" ht="17" x14ac:dyDescent="0.2">
      <c r="A487" s="26"/>
      <c r="B487" s="91" t="s">
        <v>86</v>
      </c>
      <c r="C487" s="104"/>
      <c r="D487" s="95"/>
      <c r="E487" s="95"/>
      <c r="F487" s="96">
        <f>SUM(F485:F486)</f>
        <v>0.25466666666666671</v>
      </c>
    </row>
    <row r="488" spans="1:6" x14ac:dyDescent="0.2">
      <c r="A488" s="26"/>
      <c r="B488" s="90" t="s">
        <v>138</v>
      </c>
      <c r="C488" s="6">
        <v>1</v>
      </c>
      <c r="D488" s="26"/>
      <c r="E488" s="26"/>
      <c r="F488" s="26"/>
    </row>
    <row r="489" spans="1:6" s="15" customFormat="1" x14ac:dyDescent="0.2">
      <c r="A489" s="26"/>
      <c r="B489" s="90" t="s">
        <v>129</v>
      </c>
      <c r="C489" s="105">
        <f>F487/C488</f>
        <v>0.25466666666666671</v>
      </c>
      <c r="D489" s="26"/>
      <c r="E489" s="26"/>
      <c r="F489" s="26"/>
    </row>
    <row r="495" spans="1:6" x14ac:dyDescent="0.2">
      <c r="A495" s="15" t="s">
        <v>23</v>
      </c>
    </row>
    <row r="496" spans="1:6" x14ac:dyDescent="0.2">
      <c r="A496" s="15" t="s">
        <v>402</v>
      </c>
    </row>
    <row r="497" spans="1:1" x14ac:dyDescent="0.2">
      <c r="A497" s="15" t="s">
        <v>403</v>
      </c>
    </row>
    <row r="498" spans="1:1" x14ac:dyDescent="0.2">
      <c r="A498" s="15" t="s">
        <v>404</v>
      </c>
    </row>
    <row r="499" spans="1:1" x14ac:dyDescent="0.2">
      <c r="A499" s="15" t="s">
        <v>405</v>
      </c>
    </row>
    <row r="500" spans="1:1" x14ac:dyDescent="0.2">
      <c r="A500" s="15" t="s">
        <v>406</v>
      </c>
    </row>
    <row r="501" spans="1:1" x14ac:dyDescent="0.2">
      <c r="A501" s="15"/>
    </row>
    <row r="502" spans="1:1" x14ac:dyDescent="0.2">
      <c r="A502" s="15"/>
    </row>
    <row r="503" spans="1:1" x14ac:dyDescent="0.2">
      <c r="A503" s="15"/>
    </row>
  </sheetData>
  <dataValidations count="2">
    <dataValidation type="list" allowBlank="1" showInputMessage="1" showErrorMessage="1" sqref="B5:B9 B3 B13 B16:B21 B196 B28:B29 B36:B40 B33 B47:B51 B44 B55 B58:B62 B77 B80:B84 B88 B69:B73 B91:B94 B98 B124:B127 B121 B101:B109 B113 B116:B117 B131 B134:B137 B141 B144:B151 B164 B167:B169 B155 B158:B160 B173 B176:B177 B181 B184:B185 B237 B199:B201 B205 B208 B219 B222 B226 B229:B230 B234 B25 B189 B192 B486 B490:B1048576 B423:B426 B483:B484 B467:B468 B472:B473 B460 B464:B465 B453 B457:B458 B414:B416 B396:B398 B440:B441 B405:B407 B430:B431 B387:B389 B420:B421 B377:B380 B411:B412 B338:B341 B450:B451 B329:B331 B364:B365 B287:B290 B241:B242 B270:B272 B297:B299 B475:B479 B315:B322 B261:B263 B252:B254 B433:B436 B249:B250 B244:B245 B348:B351 B358:B360 B367:B370 B335:B336 B306:B308 B258 B267:B268 B276 B284:B285 B294 B303:B304 B312 B326:B327 B345 B355:B356 B374 B384:B385 B393 B402:B403 B443:B446 B279:B280 B212 B215" xr:uid="{FB8D5052-68EF-5A4B-9C81-FCE8503CF9E9}">
      <formula1>TProduits</formula1>
    </dataValidation>
    <dataValidation type="list" allowBlank="1" showInputMessage="1" showErrorMessage="1" sqref="A3 A14 A26 A56 A34 A78 A45 A99 A67 A114 A142 A89 A122 A235 A156 A132 A174 A227 A182 A190 A206 A197 A220 A165 A484 A473 A465 A458 A441 A431 A421 A412 A356 A365 A250 A327 A304 A285 A268 A242 A451 A403 A385 A336 A259 A277 A295 A313 A346 A375 A394 A213" xr:uid="{54D47170-03B3-2E49-9A4A-562C9DD53E64}">
      <formula1>TTypesRecettes</formula1>
    </dataValidation>
  </dataValidations>
  <pageMargins left="0.7" right="0.7" top="0.75" bottom="0.75" header="0.3" footer="0.3"/>
  <pageSetup paperSize="9" orientation="portrait" horizontalDpi="0" verticalDpi="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2BFB0-4BC6-4341-A36B-73DA205B7058}">
  <sheetPr codeName="Feuil5"/>
  <dimension ref="A1:D38"/>
  <sheetViews>
    <sheetView workbookViewId="0">
      <pane ySplit="1" topLeftCell="A2" activePane="bottomLeft" state="frozen"/>
      <selection activeCell="E53" sqref="E53"/>
      <selection pane="bottomLeft" activeCell="A2" sqref="A2:C38"/>
    </sheetView>
  </sheetViews>
  <sheetFormatPr baseColWidth="10" defaultRowHeight="16" x14ac:dyDescent="0.2"/>
  <cols>
    <col min="1" max="1" width="25.83203125" bestFit="1" customWidth="1"/>
    <col min="2" max="2" width="32.83203125" bestFit="1" customWidth="1"/>
    <col min="3" max="3" width="7.5" style="11" bestFit="1" customWidth="1"/>
    <col min="4" max="4" width="96.5" bestFit="1" customWidth="1"/>
  </cols>
  <sheetData>
    <row r="1" spans="1:4" ht="60" customHeight="1" x14ac:dyDescent="0.2">
      <c r="A1" s="20" t="s">
        <v>113</v>
      </c>
      <c r="B1" s="20"/>
      <c r="C1" s="20" t="s">
        <v>129</v>
      </c>
      <c r="D1" s="126" t="s">
        <v>356</v>
      </c>
    </row>
    <row r="2" spans="1:4" x14ac:dyDescent="0.2">
      <c r="A2" s="2" t="s">
        <v>118</v>
      </c>
      <c r="B2" s="2" t="s">
        <v>116</v>
      </c>
      <c r="C2" s="6">
        <v>0.82299999999999995</v>
      </c>
      <c r="D2" s="2"/>
    </row>
    <row r="3" spans="1:4" x14ac:dyDescent="0.2">
      <c r="A3" s="2" t="s">
        <v>118</v>
      </c>
      <c r="B3" s="2" t="s">
        <v>120</v>
      </c>
      <c r="C3" s="6">
        <v>1.0149999999999999</v>
      </c>
      <c r="D3" s="2"/>
    </row>
    <row r="4" spans="1:4" x14ac:dyDescent="0.2">
      <c r="A4" s="2" t="s">
        <v>118</v>
      </c>
      <c r="B4" s="2" t="s">
        <v>126</v>
      </c>
      <c r="C4" s="6">
        <v>0.53300000000000003</v>
      </c>
      <c r="D4" s="2"/>
    </row>
    <row r="5" spans="1:4" x14ac:dyDescent="0.2">
      <c r="A5" s="2" t="s">
        <v>131</v>
      </c>
      <c r="B5" s="2" t="s">
        <v>125</v>
      </c>
      <c r="C5" s="6">
        <v>6.3E-2</v>
      </c>
      <c r="D5" s="2"/>
    </row>
    <row r="6" spans="1:4" x14ac:dyDescent="0.2">
      <c r="A6" s="2" t="s">
        <v>131</v>
      </c>
      <c r="B6" s="2" t="s">
        <v>122</v>
      </c>
      <c r="C6" s="6">
        <v>6.3E-2</v>
      </c>
      <c r="D6" s="2"/>
    </row>
    <row r="7" spans="1:4" x14ac:dyDescent="0.2">
      <c r="A7" s="2" t="s">
        <v>131</v>
      </c>
      <c r="B7" s="2" t="s">
        <v>380</v>
      </c>
      <c r="C7" s="6">
        <v>0.23300000000000001</v>
      </c>
      <c r="D7" s="2"/>
    </row>
    <row r="8" spans="1:4" x14ac:dyDescent="0.2">
      <c r="A8" s="2" t="s">
        <v>131</v>
      </c>
      <c r="B8" s="2" t="s">
        <v>121</v>
      </c>
      <c r="C8" s="6">
        <v>0.747</v>
      </c>
      <c r="D8" s="2"/>
    </row>
    <row r="9" spans="1:4" x14ac:dyDescent="0.2">
      <c r="A9" s="2" t="s">
        <v>131</v>
      </c>
      <c r="B9" s="2" t="s">
        <v>123</v>
      </c>
      <c r="C9" s="6">
        <v>0.29199999999999998</v>
      </c>
      <c r="D9" s="2" t="s">
        <v>398</v>
      </c>
    </row>
    <row r="10" spans="1:4" x14ac:dyDescent="0.2">
      <c r="A10" s="2" t="s">
        <v>131</v>
      </c>
      <c r="B10" s="2" t="s">
        <v>124</v>
      </c>
      <c r="C10" s="6">
        <v>0.44400000000000001</v>
      </c>
      <c r="D10" s="2" t="s">
        <v>398</v>
      </c>
    </row>
    <row r="11" spans="1:4" x14ac:dyDescent="0.2">
      <c r="A11" s="2" t="s">
        <v>155</v>
      </c>
      <c r="B11" s="2" t="s">
        <v>142</v>
      </c>
      <c r="C11" s="6">
        <v>0.55100000000000005</v>
      </c>
      <c r="D11" s="2" t="s">
        <v>394</v>
      </c>
    </row>
    <row r="12" spans="1:4" x14ac:dyDescent="0.2">
      <c r="A12" s="2" t="s">
        <v>155</v>
      </c>
      <c r="B12" s="2" t="s">
        <v>143</v>
      </c>
      <c r="C12" s="6">
        <v>0.624</v>
      </c>
      <c r="D12" s="2" t="s">
        <v>399</v>
      </c>
    </row>
    <row r="13" spans="1:4" x14ac:dyDescent="0.2">
      <c r="A13" s="2" t="s">
        <v>155</v>
      </c>
      <c r="B13" s="2" t="s">
        <v>141</v>
      </c>
      <c r="C13" s="6">
        <v>0.39900000000000002</v>
      </c>
      <c r="D13" s="2" t="s">
        <v>394</v>
      </c>
    </row>
    <row r="14" spans="1:4" x14ac:dyDescent="0.2">
      <c r="A14" s="2" t="s">
        <v>156</v>
      </c>
      <c r="B14" s="2" t="s">
        <v>145</v>
      </c>
      <c r="C14" s="6">
        <v>0.81499999999999995</v>
      </c>
      <c r="D14" s="2" t="s">
        <v>393</v>
      </c>
    </row>
    <row r="15" spans="1:4" x14ac:dyDescent="0.2">
      <c r="A15" s="2" t="s">
        <v>156</v>
      </c>
      <c r="B15" s="2" t="s">
        <v>146</v>
      </c>
      <c r="C15" s="6">
        <v>0.76600000000000001</v>
      </c>
      <c r="D15" s="2" t="s">
        <v>393</v>
      </c>
    </row>
    <row r="16" spans="1:4" x14ac:dyDescent="0.2">
      <c r="A16" s="2" t="s">
        <v>156</v>
      </c>
      <c r="B16" s="2" t="s">
        <v>147</v>
      </c>
      <c r="C16" s="6">
        <v>1.0940000000000001</v>
      </c>
      <c r="D16" s="2" t="s">
        <v>393</v>
      </c>
    </row>
    <row r="17" spans="1:4" x14ac:dyDescent="0.2">
      <c r="A17" s="2" t="s">
        <v>156</v>
      </c>
      <c r="B17" s="2" t="s">
        <v>148</v>
      </c>
      <c r="C17" s="6">
        <v>1.0940000000000001</v>
      </c>
      <c r="D17" s="2" t="s">
        <v>393</v>
      </c>
    </row>
    <row r="18" spans="1:4" x14ac:dyDescent="0.2">
      <c r="A18" s="2" t="s">
        <v>156</v>
      </c>
      <c r="B18" s="2" t="s">
        <v>144</v>
      </c>
      <c r="C18" s="6">
        <v>0.52700000000000002</v>
      </c>
      <c r="D18" s="2" t="s">
        <v>393</v>
      </c>
    </row>
    <row r="19" spans="1:4" x14ac:dyDescent="0.2">
      <c r="A19" s="2" t="s">
        <v>154</v>
      </c>
      <c r="B19" s="2" t="s">
        <v>158</v>
      </c>
      <c r="C19" s="6">
        <v>0.42599999999999999</v>
      </c>
      <c r="D19" s="2" t="s">
        <v>393</v>
      </c>
    </row>
    <row r="20" spans="1:4" x14ac:dyDescent="0.2">
      <c r="A20" s="2" t="s">
        <v>154</v>
      </c>
      <c r="B20" s="2" t="s">
        <v>157</v>
      </c>
      <c r="C20" s="6">
        <v>0.38900000000000001</v>
      </c>
      <c r="D20" s="2" t="s">
        <v>393</v>
      </c>
    </row>
    <row r="21" spans="1:4" x14ac:dyDescent="0.2">
      <c r="A21" s="2" t="s">
        <v>154</v>
      </c>
      <c r="B21" s="2" t="s">
        <v>160</v>
      </c>
      <c r="C21" s="6">
        <v>0.63400000000000001</v>
      </c>
      <c r="D21" s="2" t="s">
        <v>399</v>
      </c>
    </row>
    <row r="22" spans="1:4" x14ac:dyDescent="0.2">
      <c r="A22" s="2" t="s">
        <v>154</v>
      </c>
      <c r="B22" s="2" t="s">
        <v>159</v>
      </c>
      <c r="C22" s="6">
        <v>0.37</v>
      </c>
      <c r="D22" s="2" t="s">
        <v>393</v>
      </c>
    </row>
    <row r="23" spans="1:4" x14ac:dyDescent="0.2">
      <c r="A23" s="2" t="s">
        <v>154</v>
      </c>
      <c r="B23" s="2" t="s">
        <v>161</v>
      </c>
      <c r="C23" s="6">
        <v>0.37</v>
      </c>
      <c r="D23" s="2" t="s">
        <v>393</v>
      </c>
    </row>
    <row r="24" spans="1:4" x14ac:dyDescent="0.2">
      <c r="A24" s="2" t="s">
        <v>154</v>
      </c>
      <c r="B24" s="2" t="s">
        <v>401</v>
      </c>
      <c r="C24" s="6">
        <v>0.442</v>
      </c>
      <c r="D24" s="2" t="s">
        <v>393</v>
      </c>
    </row>
    <row r="25" spans="1:4" x14ac:dyDescent="0.2">
      <c r="A25" s="2" t="s">
        <v>154</v>
      </c>
      <c r="B25" s="2" t="s">
        <v>140</v>
      </c>
      <c r="C25" s="6">
        <v>0.63</v>
      </c>
      <c r="D25" s="2" t="s">
        <v>394</v>
      </c>
    </row>
    <row r="26" spans="1:4" x14ac:dyDescent="0.2">
      <c r="A26" s="2" t="s">
        <v>114</v>
      </c>
      <c r="B26" s="2" t="s">
        <v>95</v>
      </c>
      <c r="C26" s="6">
        <v>2.9889999999999999</v>
      </c>
      <c r="D26" s="2" t="s">
        <v>395</v>
      </c>
    </row>
    <row r="27" spans="1:4" x14ac:dyDescent="0.2">
      <c r="A27" s="2" t="s">
        <v>114</v>
      </c>
      <c r="B27" s="2" t="s">
        <v>91</v>
      </c>
      <c r="C27" s="6">
        <v>0.97799999999999998</v>
      </c>
      <c r="D27" s="2" t="s">
        <v>394</v>
      </c>
    </row>
    <row r="28" spans="1:4" x14ac:dyDescent="0.2">
      <c r="A28" s="2" t="s">
        <v>114</v>
      </c>
      <c r="B28" s="2" t="s">
        <v>108</v>
      </c>
      <c r="C28" s="6">
        <v>0.79500000000000004</v>
      </c>
      <c r="D28" s="2" t="s">
        <v>393</v>
      </c>
    </row>
    <row r="29" spans="1:4" x14ac:dyDescent="0.2">
      <c r="A29" s="2" t="s">
        <v>114</v>
      </c>
      <c r="B29" s="2" t="s">
        <v>87</v>
      </c>
      <c r="C29" s="6">
        <v>0.27600000000000002</v>
      </c>
      <c r="D29" s="2" t="s">
        <v>393</v>
      </c>
    </row>
    <row r="30" spans="1:4" x14ac:dyDescent="0.2">
      <c r="A30" s="2" t="s">
        <v>114</v>
      </c>
      <c r="B30" s="2" t="s">
        <v>107</v>
      </c>
      <c r="C30" s="6">
        <v>1.73</v>
      </c>
      <c r="D30" s="2" t="s">
        <v>397</v>
      </c>
    </row>
    <row r="31" spans="1:4" x14ac:dyDescent="0.2">
      <c r="A31" s="2" t="s">
        <v>114</v>
      </c>
      <c r="B31" s="2" t="s">
        <v>92</v>
      </c>
      <c r="C31" s="6">
        <v>4.1120000000000001</v>
      </c>
      <c r="D31" s="2" t="s">
        <v>393</v>
      </c>
    </row>
    <row r="32" spans="1:4" x14ac:dyDescent="0.2">
      <c r="A32" s="2" t="s">
        <v>114</v>
      </c>
      <c r="B32" s="2" t="s">
        <v>94</v>
      </c>
      <c r="C32" s="6">
        <v>1.0269999999999999</v>
      </c>
      <c r="D32" s="2" t="s">
        <v>394</v>
      </c>
    </row>
    <row r="33" spans="1:4" x14ac:dyDescent="0.2">
      <c r="A33" s="2" t="s">
        <v>114</v>
      </c>
      <c r="B33" s="2" t="s">
        <v>99</v>
      </c>
      <c r="C33" s="6">
        <v>1.982</v>
      </c>
      <c r="D33" s="2" t="s">
        <v>396</v>
      </c>
    </row>
    <row r="34" spans="1:4" x14ac:dyDescent="0.2">
      <c r="A34" s="2" t="s">
        <v>153</v>
      </c>
      <c r="B34" s="2" t="s">
        <v>150</v>
      </c>
      <c r="C34" s="6">
        <v>0.313</v>
      </c>
      <c r="D34" s="2"/>
    </row>
    <row r="35" spans="1:4" x14ac:dyDescent="0.2">
      <c r="A35" s="2" t="s">
        <v>153</v>
      </c>
      <c r="B35" s="2" t="s">
        <v>151</v>
      </c>
      <c r="C35" s="6">
        <v>0.122</v>
      </c>
      <c r="D35" s="2" t="s">
        <v>400</v>
      </c>
    </row>
    <row r="36" spans="1:4" x14ac:dyDescent="0.2">
      <c r="A36" s="2" t="s">
        <v>153</v>
      </c>
      <c r="B36" s="2" t="s">
        <v>149</v>
      </c>
      <c r="C36" s="6">
        <v>0.629</v>
      </c>
      <c r="D36" s="2"/>
    </row>
    <row r="37" spans="1:4" x14ac:dyDescent="0.2">
      <c r="A37" s="2" t="s">
        <v>153</v>
      </c>
      <c r="B37" s="2" t="s">
        <v>56</v>
      </c>
      <c r="C37" s="6">
        <v>0.10199999999999999</v>
      </c>
      <c r="D37" s="2"/>
    </row>
    <row r="38" spans="1:4" x14ac:dyDescent="0.2">
      <c r="A38" s="2" t="s">
        <v>153</v>
      </c>
      <c r="B38" s="2" t="s">
        <v>152</v>
      </c>
      <c r="C38" s="6">
        <v>0.255</v>
      </c>
      <c r="D38" s="2"/>
    </row>
  </sheetData>
  <sortState xmlns:xlrd2="http://schemas.microsoft.com/office/spreadsheetml/2017/richdata2" ref="A2:D37">
    <sortCondition ref="A2:A37"/>
    <sortCondition ref="B2:B37"/>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CR_Raffraichir">
                <anchor moveWithCells="1" sizeWithCells="1">
                  <from>
                    <xdr:col>4</xdr:col>
                    <xdr:colOff>50800</xdr:colOff>
                    <xdr:row>0</xdr:row>
                    <xdr:rowOff>63500</xdr:rowOff>
                  </from>
                  <to>
                    <xdr:col>4</xdr:col>
                    <xdr:colOff>774700</xdr:colOff>
                    <xdr:row>0</xdr:row>
                    <xdr:rowOff>419100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E4AC8-7254-1E44-ADF0-E4599C61F8E0}">
  <sheetPr codeName="Feuil6"/>
  <dimension ref="A1:J38"/>
  <sheetViews>
    <sheetView workbookViewId="0">
      <selection activeCell="A2" sqref="A2:C38"/>
    </sheetView>
  </sheetViews>
  <sheetFormatPr baseColWidth="10" defaultRowHeight="16" x14ac:dyDescent="0.2"/>
  <cols>
    <col min="1" max="1" width="36.1640625" bestFit="1" customWidth="1"/>
    <col min="2" max="2" width="38.5" customWidth="1"/>
    <col min="3" max="3" width="12.1640625" style="9" bestFit="1" customWidth="1"/>
    <col min="4" max="5" width="10.83203125" style="9"/>
    <col min="6" max="6" width="20.33203125" style="9" customWidth="1"/>
    <col min="7" max="7" width="6" style="9" customWidth="1"/>
    <col min="8" max="8" width="21.33203125" customWidth="1"/>
    <col min="9" max="9" width="17.5" customWidth="1"/>
  </cols>
  <sheetData>
    <row r="1" spans="1:10" ht="52" thickBot="1" x14ac:dyDescent="0.25">
      <c r="A1" s="20" t="s">
        <v>113</v>
      </c>
      <c r="B1" s="20" t="s">
        <v>128</v>
      </c>
      <c r="C1" s="30" t="s">
        <v>129</v>
      </c>
      <c r="D1" s="30" t="s">
        <v>132</v>
      </c>
      <c r="E1" s="30" t="s">
        <v>133</v>
      </c>
      <c r="F1" s="30" t="s">
        <v>135</v>
      </c>
      <c r="G1" s="112"/>
      <c r="I1" s="110" t="s">
        <v>306</v>
      </c>
      <c r="J1" s="127">
        <v>0.3</v>
      </c>
    </row>
    <row r="2" spans="1:10" x14ac:dyDescent="0.2">
      <c r="A2" s="2" t="s">
        <v>118</v>
      </c>
      <c r="B2" s="2" t="s">
        <v>116</v>
      </c>
      <c r="C2" s="6">
        <v>0.82299999999999995</v>
      </c>
      <c r="D2" s="8">
        <v>0.3</v>
      </c>
      <c r="E2" s="8">
        <f t="shared" ref="E2:E38" si="0">C2*D2</f>
        <v>0.24689999999999998</v>
      </c>
      <c r="F2" s="8">
        <f t="shared" ref="F2:F38" si="1">E2+C2</f>
        <v>1.0698999999999999</v>
      </c>
    </row>
    <row r="3" spans="1:10" x14ac:dyDescent="0.2">
      <c r="A3" s="2" t="s">
        <v>118</v>
      </c>
      <c r="B3" s="2" t="s">
        <v>120</v>
      </c>
      <c r="C3" s="6">
        <v>1.0149999999999999</v>
      </c>
      <c r="D3" s="8">
        <v>0.3</v>
      </c>
      <c r="E3" s="8">
        <f t="shared" si="0"/>
        <v>0.30449999999999994</v>
      </c>
      <c r="F3" s="8">
        <f t="shared" si="1"/>
        <v>1.3194999999999999</v>
      </c>
    </row>
    <row r="4" spans="1:10" x14ac:dyDescent="0.2">
      <c r="A4" s="2" t="s">
        <v>118</v>
      </c>
      <c r="B4" s="2" t="s">
        <v>126</v>
      </c>
      <c r="C4" s="6">
        <v>0.53300000000000003</v>
      </c>
      <c r="D4" s="8">
        <v>0.3</v>
      </c>
      <c r="E4" s="8">
        <f t="shared" si="0"/>
        <v>0.15990000000000001</v>
      </c>
      <c r="F4" s="8">
        <f t="shared" si="1"/>
        <v>0.69290000000000007</v>
      </c>
    </row>
    <row r="5" spans="1:10" x14ac:dyDescent="0.2">
      <c r="A5" s="2" t="s">
        <v>131</v>
      </c>
      <c r="B5" s="2" t="s">
        <v>125</v>
      </c>
      <c r="C5" s="6">
        <v>6.3E-2</v>
      </c>
      <c r="D5" s="8">
        <v>0.3</v>
      </c>
      <c r="E5" s="8">
        <f t="shared" si="0"/>
        <v>1.89E-2</v>
      </c>
      <c r="F5" s="8">
        <f t="shared" si="1"/>
        <v>8.1900000000000001E-2</v>
      </c>
    </row>
    <row r="6" spans="1:10" x14ac:dyDescent="0.2">
      <c r="A6" s="2" t="s">
        <v>131</v>
      </c>
      <c r="B6" s="2" t="s">
        <v>122</v>
      </c>
      <c r="C6" s="6">
        <v>6.3E-2</v>
      </c>
      <c r="D6" s="8">
        <v>0.3</v>
      </c>
      <c r="E6" s="8">
        <f t="shared" si="0"/>
        <v>1.89E-2</v>
      </c>
      <c r="F6" s="8">
        <f t="shared" si="1"/>
        <v>8.1900000000000001E-2</v>
      </c>
    </row>
    <row r="7" spans="1:10" x14ac:dyDescent="0.2">
      <c r="A7" s="2" t="s">
        <v>131</v>
      </c>
      <c r="B7" s="2" t="s">
        <v>380</v>
      </c>
      <c r="C7" s="6">
        <v>0.23300000000000001</v>
      </c>
      <c r="D7" s="8">
        <v>0.3</v>
      </c>
      <c r="E7" s="8">
        <f t="shared" si="0"/>
        <v>6.9900000000000004E-2</v>
      </c>
      <c r="F7" s="8">
        <f t="shared" si="1"/>
        <v>0.3029</v>
      </c>
    </row>
    <row r="8" spans="1:10" x14ac:dyDescent="0.2">
      <c r="A8" s="2" t="s">
        <v>131</v>
      </c>
      <c r="B8" s="2" t="s">
        <v>121</v>
      </c>
      <c r="C8" s="6">
        <v>0.747</v>
      </c>
      <c r="D8" s="8">
        <v>0.3</v>
      </c>
      <c r="E8" s="8">
        <f t="shared" si="0"/>
        <v>0.22409999999999999</v>
      </c>
      <c r="F8" s="8">
        <f t="shared" si="1"/>
        <v>0.97109999999999996</v>
      </c>
    </row>
    <row r="9" spans="1:10" x14ac:dyDescent="0.2">
      <c r="A9" s="2" t="s">
        <v>131</v>
      </c>
      <c r="B9" s="2" t="s">
        <v>123</v>
      </c>
      <c r="C9" s="6">
        <v>0.29199999999999998</v>
      </c>
      <c r="D9" s="8">
        <v>0.3</v>
      </c>
      <c r="E9" s="8">
        <f t="shared" si="0"/>
        <v>8.7599999999999997E-2</v>
      </c>
      <c r="F9" s="8">
        <f t="shared" si="1"/>
        <v>0.37959999999999999</v>
      </c>
    </row>
    <row r="10" spans="1:10" x14ac:dyDescent="0.2">
      <c r="A10" s="2" t="s">
        <v>131</v>
      </c>
      <c r="B10" s="2" t="s">
        <v>124</v>
      </c>
      <c r="C10" s="6">
        <v>0.44400000000000001</v>
      </c>
      <c r="D10" s="8">
        <v>0.3</v>
      </c>
      <c r="E10" s="8">
        <f t="shared" si="0"/>
        <v>0.13319999999999999</v>
      </c>
      <c r="F10" s="8">
        <f t="shared" si="1"/>
        <v>0.57719999999999994</v>
      </c>
    </row>
    <row r="11" spans="1:10" x14ac:dyDescent="0.2">
      <c r="A11" s="2" t="s">
        <v>155</v>
      </c>
      <c r="B11" s="2" t="s">
        <v>142</v>
      </c>
      <c r="C11" s="6">
        <v>0.55100000000000005</v>
      </c>
      <c r="D11" s="8">
        <v>0.3</v>
      </c>
      <c r="E11" s="8">
        <f t="shared" si="0"/>
        <v>0.1653</v>
      </c>
      <c r="F11" s="8">
        <f t="shared" si="1"/>
        <v>0.71630000000000005</v>
      </c>
    </row>
    <row r="12" spans="1:10" x14ac:dyDescent="0.2">
      <c r="A12" s="2" t="s">
        <v>155</v>
      </c>
      <c r="B12" s="2" t="s">
        <v>143</v>
      </c>
      <c r="C12" s="6">
        <v>0.624</v>
      </c>
      <c r="D12" s="8">
        <v>0.3</v>
      </c>
      <c r="E12" s="8">
        <f t="shared" si="0"/>
        <v>0.18720000000000001</v>
      </c>
      <c r="F12" s="8">
        <f t="shared" si="1"/>
        <v>0.81120000000000003</v>
      </c>
    </row>
    <row r="13" spans="1:10" x14ac:dyDescent="0.2">
      <c r="A13" s="2" t="s">
        <v>155</v>
      </c>
      <c r="B13" s="2" t="s">
        <v>141</v>
      </c>
      <c r="C13" s="6">
        <v>0.39900000000000002</v>
      </c>
      <c r="D13" s="8">
        <v>0.3</v>
      </c>
      <c r="E13" s="8">
        <f t="shared" si="0"/>
        <v>0.1197</v>
      </c>
      <c r="F13" s="8">
        <f t="shared" si="1"/>
        <v>0.51870000000000005</v>
      </c>
    </row>
    <row r="14" spans="1:10" x14ac:dyDescent="0.2">
      <c r="A14" s="2" t="s">
        <v>156</v>
      </c>
      <c r="B14" s="2" t="s">
        <v>145</v>
      </c>
      <c r="C14" s="6">
        <v>0.81499999999999995</v>
      </c>
      <c r="D14" s="8">
        <v>0.3</v>
      </c>
      <c r="E14" s="8">
        <f t="shared" si="0"/>
        <v>0.24449999999999997</v>
      </c>
      <c r="F14" s="8">
        <f t="shared" si="1"/>
        <v>1.0594999999999999</v>
      </c>
    </row>
    <row r="15" spans="1:10" x14ac:dyDescent="0.2">
      <c r="A15" s="2" t="s">
        <v>156</v>
      </c>
      <c r="B15" s="2" t="s">
        <v>146</v>
      </c>
      <c r="C15" s="6">
        <v>0.76600000000000001</v>
      </c>
      <c r="D15" s="8">
        <v>0.3</v>
      </c>
      <c r="E15" s="8">
        <f t="shared" si="0"/>
        <v>0.2298</v>
      </c>
      <c r="F15" s="8">
        <f t="shared" si="1"/>
        <v>0.99580000000000002</v>
      </c>
    </row>
    <row r="16" spans="1:10" x14ac:dyDescent="0.2">
      <c r="A16" s="2" t="s">
        <v>156</v>
      </c>
      <c r="B16" s="2" t="s">
        <v>147</v>
      </c>
      <c r="C16" s="6">
        <v>1.0940000000000001</v>
      </c>
      <c r="D16" s="8">
        <v>0.3</v>
      </c>
      <c r="E16" s="8">
        <f t="shared" si="0"/>
        <v>0.32819999999999999</v>
      </c>
      <c r="F16" s="8">
        <f t="shared" si="1"/>
        <v>1.4222000000000001</v>
      </c>
    </row>
    <row r="17" spans="1:6" x14ac:dyDescent="0.2">
      <c r="A17" s="2" t="s">
        <v>156</v>
      </c>
      <c r="B17" s="2" t="s">
        <v>148</v>
      </c>
      <c r="C17" s="6">
        <v>1.0940000000000001</v>
      </c>
      <c r="D17" s="8">
        <v>0.3</v>
      </c>
      <c r="E17" s="8">
        <f t="shared" si="0"/>
        <v>0.32819999999999999</v>
      </c>
      <c r="F17" s="8">
        <f t="shared" si="1"/>
        <v>1.4222000000000001</v>
      </c>
    </row>
    <row r="18" spans="1:6" x14ac:dyDescent="0.2">
      <c r="A18" s="2" t="s">
        <v>156</v>
      </c>
      <c r="B18" s="2" t="s">
        <v>144</v>
      </c>
      <c r="C18" s="6">
        <v>0.52700000000000002</v>
      </c>
      <c r="D18" s="8">
        <v>0.3</v>
      </c>
      <c r="E18" s="8">
        <f t="shared" si="0"/>
        <v>0.15809999999999999</v>
      </c>
      <c r="F18" s="8">
        <f t="shared" si="1"/>
        <v>0.68510000000000004</v>
      </c>
    </row>
    <row r="19" spans="1:6" x14ac:dyDescent="0.2">
      <c r="A19" s="2" t="s">
        <v>154</v>
      </c>
      <c r="B19" s="2" t="s">
        <v>158</v>
      </c>
      <c r="C19" s="6">
        <v>0.42599999999999999</v>
      </c>
      <c r="D19" s="8">
        <v>0.3</v>
      </c>
      <c r="E19" s="8">
        <f t="shared" si="0"/>
        <v>0.1278</v>
      </c>
      <c r="F19" s="8">
        <f t="shared" si="1"/>
        <v>0.55379999999999996</v>
      </c>
    </row>
    <row r="20" spans="1:6" x14ac:dyDescent="0.2">
      <c r="A20" s="2" t="s">
        <v>154</v>
      </c>
      <c r="B20" s="2" t="s">
        <v>157</v>
      </c>
      <c r="C20" s="6">
        <v>0.38900000000000001</v>
      </c>
      <c r="D20" s="8">
        <v>0.3</v>
      </c>
      <c r="E20" s="8">
        <f t="shared" si="0"/>
        <v>0.1167</v>
      </c>
      <c r="F20" s="8">
        <f t="shared" si="1"/>
        <v>0.50570000000000004</v>
      </c>
    </row>
    <row r="21" spans="1:6" x14ac:dyDescent="0.2">
      <c r="A21" s="2" t="s">
        <v>154</v>
      </c>
      <c r="B21" s="2" t="s">
        <v>160</v>
      </c>
      <c r="C21" s="6">
        <v>0.63400000000000001</v>
      </c>
      <c r="D21" s="8">
        <v>0.3</v>
      </c>
      <c r="E21" s="8">
        <f t="shared" si="0"/>
        <v>0.19020000000000001</v>
      </c>
      <c r="F21" s="8">
        <f t="shared" si="1"/>
        <v>0.82420000000000004</v>
      </c>
    </row>
    <row r="22" spans="1:6" x14ac:dyDescent="0.2">
      <c r="A22" s="2" t="s">
        <v>154</v>
      </c>
      <c r="B22" s="2" t="s">
        <v>159</v>
      </c>
      <c r="C22" s="6">
        <v>0.37</v>
      </c>
      <c r="D22" s="8">
        <v>0.3</v>
      </c>
      <c r="E22" s="8">
        <f t="shared" si="0"/>
        <v>0.111</v>
      </c>
      <c r="F22" s="8">
        <f t="shared" si="1"/>
        <v>0.48099999999999998</v>
      </c>
    </row>
    <row r="23" spans="1:6" x14ac:dyDescent="0.2">
      <c r="A23" s="2" t="s">
        <v>154</v>
      </c>
      <c r="B23" s="2" t="s">
        <v>161</v>
      </c>
      <c r="C23" s="6">
        <v>0.37</v>
      </c>
      <c r="D23" s="8">
        <v>0.3</v>
      </c>
      <c r="E23" s="8">
        <f t="shared" si="0"/>
        <v>0.111</v>
      </c>
      <c r="F23" s="8">
        <f t="shared" si="1"/>
        <v>0.48099999999999998</v>
      </c>
    </row>
    <row r="24" spans="1:6" x14ac:dyDescent="0.2">
      <c r="A24" s="2" t="s">
        <v>154</v>
      </c>
      <c r="B24" s="2" t="s">
        <v>401</v>
      </c>
      <c r="C24" s="6">
        <v>0.442</v>
      </c>
      <c r="D24" s="8">
        <v>0.3</v>
      </c>
      <c r="E24" s="8">
        <f t="shared" si="0"/>
        <v>0.1326</v>
      </c>
      <c r="F24" s="8">
        <f t="shared" si="1"/>
        <v>0.5746</v>
      </c>
    </row>
    <row r="25" spans="1:6" x14ac:dyDescent="0.2">
      <c r="A25" s="2" t="s">
        <v>154</v>
      </c>
      <c r="B25" s="2" t="s">
        <v>140</v>
      </c>
      <c r="C25" s="6">
        <v>0.63</v>
      </c>
      <c r="D25" s="8">
        <v>0.3</v>
      </c>
      <c r="E25" s="8">
        <f t="shared" si="0"/>
        <v>0.189</v>
      </c>
      <c r="F25" s="8">
        <f t="shared" si="1"/>
        <v>0.81899999999999995</v>
      </c>
    </row>
    <row r="26" spans="1:6" x14ac:dyDescent="0.2">
      <c r="A26" s="2" t="s">
        <v>114</v>
      </c>
      <c r="B26" s="2" t="s">
        <v>95</v>
      </c>
      <c r="C26" s="6">
        <v>2.9889999999999999</v>
      </c>
      <c r="D26" s="8">
        <v>0.3</v>
      </c>
      <c r="E26" s="8">
        <f t="shared" si="0"/>
        <v>0.89669999999999994</v>
      </c>
      <c r="F26" s="8">
        <f t="shared" si="1"/>
        <v>3.8856999999999999</v>
      </c>
    </row>
    <row r="27" spans="1:6" x14ac:dyDescent="0.2">
      <c r="A27" s="2" t="s">
        <v>114</v>
      </c>
      <c r="B27" s="2" t="s">
        <v>91</v>
      </c>
      <c r="C27" s="6">
        <v>0.97799999999999998</v>
      </c>
      <c r="D27" s="8">
        <v>0.3</v>
      </c>
      <c r="E27" s="8">
        <f t="shared" si="0"/>
        <v>0.29339999999999999</v>
      </c>
      <c r="F27" s="8">
        <f t="shared" si="1"/>
        <v>1.2713999999999999</v>
      </c>
    </row>
    <row r="28" spans="1:6" x14ac:dyDescent="0.2">
      <c r="A28" s="2" t="s">
        <v>114</v>
      </c>
      <c r="B28" s="2" t="s">
        <v>108</v>
      </c>
      <c r="C28" s="6">
        <v>0.79500000000000004</v>
      </c>
      <c r="D28" s="8">
        <v>0.3</v>
      </c>
      <c r="E28" s="8">
        <f t="shared" si="0"/>
        <v>0.23849999999999999</v>
      </c>
      <c r="F28" s="8">
        <f t="shared" si="1"/>
        <v>1.0335000000000001</v>
      </c>
    </row>
    <row r="29" spans="1:6" x14ac:dyDescent="0.2">
      <c r="A29" s="2" t="s">
        <v>114</v>
      </c>
      <c r="B29" s="2" t="s">
        <v>87</v>
      </c>
      <c r="C29" s="6">
        <v>0.27600000000000002</v>
      </c>
      <c r="D29" s="8">
        <v>0.3</v>
      </c>
      <c r="E29" s="8">
        <f t="shared" si="0"/>
        <v>8.2799999999999999E-2</v>
      </c>
      <c r="F29" s="8">
        <f t="shared" si="1"/>
        <v>0.35880000000000001</v>
      </c>
    </row>
    <row r="30" spans="1:6" x14ac:dyDescent="0.2">
      <c r="A30" s="2" t="s">
        <v>114</v>
      </c>
      <c r="B30" s="2" t="s">
        <v>107</v>
      </c>
      <c r="C30" s="6">
        <v>1.73</v>
      </c>
      <c r="D30" s="8">
        <v>0.3</v>
      </c>
      <c r="E30" s="8">
        <f t="shared" si="0"/>
        <v>0.51900000000000002</v>
      </c>
      <c r="F30" s="8">
        <f t="shared" si="1"/>
        <v>2.2490000000000001</v>
      </c>
    </row>
    <row r="31" spans="1:6" x14ac:dyDescent="0.2">
      <c r="A31" s="2" t="s">
        <v>114</v>
      </c>
      <c r="B31" s="2" t="s">
        <v>92</v>
      </c>
      <c r="C31" s="6">
        <v>4.1120000000000001</v>
      </c>
      <c r="D31" s="8">
        <v>0.3</v>
      </c>
      <c r="E31" s="8">
        <f t="shared" si="0"/>
        <v>1.2336</v>
      </c>
      <c r="F31" s="8">
        <f t="shared" si="1"/>
        <v>5.3456000000000001</v>
      </c>
    </row>
    <row r="32" spans="1:6" x14ac:dyDescent="0.2">
      <c r="A32" s="2" t="s">
        <v>114</v>
      </c>
      <c r="B32" s="2" t="s">
        <v>94</v>
      </c>
      <c r="C32" s="6">
        <v>1.0269999999999999</v>
      </c>
      <c r="D32" s="8">
        <v>0.3</v>
      </c>
      <c r="E32" s="8">
        <f t="shared" si="0"/>
        <v>0.30809999999999998</v>
      </c>
      <c r="F32" s="8">
        <f t="shared" si="1"/>
        <v>1.3351</v>
      </c>
    </row>
    <row r="33" spans="1:6" x14ac:dyDescent="0.2">
      <c r="A33" s="2" t="s">
        <v>114</v>
      </c>
      <c r="B33" s="2" t="s">
        <v>99</v>
      </c>
      <c r="C33" s="6">
        <v>1.982</v>
      </c>
      <c r="D33" s="8">
        <v>0.3</v>
      </c>
      <c r="E33" s="8">
        <f t="shared" si="0"/>
        <v>0.59460000000000002</v>
      </c>
      <c r="F33" s="8">
        <f t="shared" si="1"/>
        <v>2.5766</v>
      </c>
    </row>
    <row r="34" spans="1:6" x14ac:dyDescent="0.2">
      <c r="A34" s="2" t="s">
        <v>153</v>
      </c>
      <c r="B34" s="2" t="s">
        <v>150</v>
      </c>
      <c r="C34" s="6">
        <v>0.313</v>
      </c>
      <c r="D34" s="8">
        <v>0.3</v>
      </c>
      <c r="E34" s="8">
        <f t="shared" si="0"/>
        <v>9.3899999999999997E-2</v>
      </c>
      <c r="F34" s="8">
        <f t="shared" si="1"/>
        <v>0.40689999999999998</v>
      </c>
    </row>
    <row r="35" spans="1:6" x14ac:dyDescent="0.2">
      <c r="A35" s="2" t="s">
        <v>153</v>
      </c>
      <c r="B35" s="2" t="s">
        <v>151</v>
      </c>
      <c r="C35" s="6">
        <v>0.122</v>
      </c>
      <c r="D35" s="8">
        <v>0.3</v>
      </c>
      <c r="E35" s="8">
        <f t="shared" si="0"/>
        <v>3.6600000000000001E-2</v>
      </c>
      <c r="F35" s="8">
        <f t="shared" si="1"/>
        <v>0.15859999999999999</v>
      </c>
    </row>
    <row r="36" spans="1:6" x14ac:dyDescent="0.2">
      <c r="A36" s="2" t="s">
        <v>153</v>
      </c>
      <c r="B36" s="2" t="s">
        <v>149</v>
      </c>
      <c r="C36" s="6">
        <v>0.629</v>
      </c>
      <c r="D36" s="8">
        <v>0.3</v>
      </c>
      <c r="E36" s="8">
        <f t="shared" si="0"/>
        <v>0.18870000000000001</v>
      </c>
      <c r="F36" s="8">
        <f t="shared" si="1"/>
        <v>0.81769999999999998</v>
      </c>
    </row>
    <row r="37" spans="1:6" x14ac:dyDescent="0.2">
      <c r="A37" s="2" t="s">
        <v>153</v>
      </c>
      <c r="B37" s="2" t="s">
        <v>56</v>
      </c>
      <c r="C37" s="6">
        <v>0.10199999999999999</v>
      </c>
      <c r="D37" s="8">
        <v>0.3</v>
      </c>
      <c r="E37" s="8">
        <f t="shared" si="0"/>
        <v>3.0599999999999995E-2</v>
      </c>
      <c r="F37" s="8">
        <f t="shared" si="1"/>
        <v>0.1326</v>
      </c>
    </row>
    <row r="38" spans="1:6" x14ac:dyDescent="0.2">
      <c r="A38" s="2" t="s">
        <v>153</v>
      </c>
      <c r="B38" s="2" t="s">
        <v>152</v>
      </c>
      <c r="C38" s="6">
        <v>0.255</v>
      </c>
      <c r="D38" s="8">
        <v>0.3</v>
      </c>
      <c r="E38" s="8">
        <f t="shared" si="0"/>
        <v>7.6499999999999999E-2</v>
      </c>
      <c r="F38" s="8">
        <f t="shared" si="1"/>
        <v>0.33150000000000002</v>
      </c>
    </row>
  </sheetData>
  <sortState xmlns:xlrd2="http://schemas.microsoft.com/office/spreadsheetml/2017/richdata2" ref="A2:F38">
    <sortCondition ref="A2:A38"/>
    <sortCondition ref="B2:B38"/>
  </sortState>
  <dataValidations disablePrompts="1" count="1">
    <dataValidation type="decimal" allowBlank="1" showInputMessage="1" showErrorMessage="1" sqref="J1" xr:uid="{15B5BC02-7F39-D34F-B625-2CAB331374A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PVR_Raffraichir" altText="Raffraichir">
                <anchor moveWithCells="1" sizeWithCells="1">
                  <from>
                    <xdr:col>7</xdr:col>
                    <xdr:colOff>50800</xdr:colOff>
                    <xdr:row>0</xdr:row>
                    <xdr:rowOff>203200</xdr:rowOff>
                  </from>
                  <to>
                    <xdr:col>7</xdr:col>
                    <xdr:colOff>1574800</xdr:colOff>
                    <xdr:row>0</xdr:row>
                    <xdr:rowOff>584200</xdr:rowOff>
                  </to>
                </anchor>
              </controlPr>
            </control>
          </mc:Choice>
        </mc:AlternateContent>
        <mc:AlternateContent xmlns:mc="http://schemas.openxmlformats.org/markup-compatibility/2006">
          <mc:Choice Requires="x14">
            <control shapeId="11266" r:id="rId4" name="Button 2">
              <controlPr defaultSize="0" print="0" autoFill="0" autoPict="0" macro="[0]!PVR_TrierTableauParCoutUnitaire">
                <anchor moveWithCells="1" sizeWithCells="1">
                  <from>
                    <xdr:col>10</xdr:col>
                    <xdr:colOff>190500</xdr:colOff>
                    <xdr:row>0</xdr:row>
                    <xdr:rowOff>127000</xdr:rowOff>
                  </from>
                  <to>
                    <xdr:col>12</xdr:col>
                    <xdr:colOff>63500</xdr:colOff>
                    <xdr:row>0</xdr:row>
                    <xdr:rowOff>584200</xdr:rowOff>
                  </to>
                </anchor>
              </controlPr>
            </control>
          </mc:Choice>
        </mc:AlternateContent>
        <mc:AlternateContent xmlns:mc="http://schemas.openxmlformats.org/markup-compatibility/2006">
          <mc:Choice Requires="x14">
            <control shapeId="11267" r:id="rId5" name="Button 3">
              <controlPr defaultSize="0" print="0" autoFill="0" autoPict="0" macro="[0]!PVR_TrierTableauParTypeParEcette">
                <anchor moveWithCells="1" sizeWithCells="1">
                  <from>
                    <xdr:col>12</xdr:col>
                    <xdr:colOff>266700</xdr:colOff>
                    <xdr:row>0</xdr:row>
                    <xdr:rowOff>101600</xdr:rowOff>
                  </from>
                  <to>
                    <xdr:col>14</xdr:col>
                    <xdr:colOff>139700</xdr:colOff>
                    <xdr:row>0</xdr:row>
                    <xdr:rowOff>571500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E29D4-F430-C14C-945A-ACACA1F7A7EF}">
  <sheetPr codeName="Feuil7"/>
  <dimension ref="A1:P38"/>
  <sheetViews>
    <sheetView workbookViewId="0">
      <selection activeCell="J15" sqref="J15"/>
    </sheetView>
  </sheetViews>
  <sheetFormatPr baseColWidth="10" defaultRowHeight="16" x14ac:dyDescent="0.2"/>
  <cols>
    <col min="1" max="1" width="25.83203125" bestFit="1" customWidth="1"/>
    <col min="2" max="2" width="32.83203125" bestFit="1" customWidth="1"/>
    <col min="3" max="3" width="17.1640625" style="9" customWidth="1"/>
    <col min="4" max="5" width="10.83203125" style="9"/>
    <col min="12" max="12" width="25.83203125" bestFit="1" customWidth="1"/>
    <col min="13" max="13" width="32.83203125" bestFit="1" customWidth="1"/>
    <col min="14" max="14" width="16.5" customWidth="1"/>
  </cols>
  <sheetData>
    <row r="1" spans="1:16" ht="60" customHeight="1" x14ac:dyDescent="0.2">
      <c r="A1" s="4" t="s">
        <v>113</v>
      </c>
      <c r="B1" s="4" t="s">
        <v>128</v>
      </c>
      <c r="C1" s="5" t="s">
        <v>135</v>
      </c>
      <c r="D1" s="5" t="s">
        <v>134</v>
      </c>
      <c r="E1" s="5" t="s">
        <v>379</v>
      </c>
      <c r="L1" s="4" t="s">
        <v>113</v>
      </c>
      <c r="M1" s="4" t="s">
        <v>128</v>
      </c>
      <c r="N1" s="4" t="s">
        <v>135</v>
      </c>
      <c r="O1" s="4" t="s">
        <v>134</v>
      </c>
      <c r="P1" s="4" t="s">
        <v>379</v>
      </c>
    </row>
    <row r="2" spans="1:16" x14ac:dyDescent="0.2">
      <c r="A2" s="2" t="s">
        <v>131</v>
      </c>
      <c r="B2" s="2" t="s">
        <v>125</v>
      </c>
      <c r="C2" s="6">
        <v>6.3E-2</v>
      </c>
      <c r="D2" s="133">
        <v>2.8</v>
      </c>
      <c r="E2" s="8">
        <f>D2/C2</f>
        <v>44.444444444444443</v>
      </c>
      <c r="L2" s="2" t="s">
        <v>131</v>
      </c>
      <c r="M2" s="2" t="s">
        <v>125</v>
      </c>
      <c r="N2" s="2">
        <v>6.3E-2</v>
      </c>
      <c r="O2" s="2">
        <v>2.8</v>
      </c>
      <c r="P2" s="2">
        <v>44.444444444444443</v>
      </c>
    </row>
    <row r="3" spans="1:16" x14ac:dyDescent="0.2">
      <c r="A3" s="2" t="s">
        <v>131</v>
      </c>
      <c r="B3" s="2" t="s">
        <v>122</v>
      </c>
      <c r="C3" s="6">
        <v>6.3E-2</v>
      </c>
      <c r="D3" s="133">
        <v>2.8</v>
      </c>
      <c r="E3" s="8">
        <f t="shared" ref="E3:E38" si="0">D3/C3</f>
        <v>44.444444444444443</v>
      </c>
      <c r="L3" s="2" t="s">
        <v>131</v>
      </c>
      <c r="M3" s="2" t="s">
        <v>122</v>
      </c>
      <c r="N3" s="2">
        <v>6.3E-2</v>
      </c>
      <c r="O3" s="2">
        <v>2.8</v>
      </c>
      <c r="P3" s="2">
        <v>44.444444444444443</v>
      </c>
    </row>
    <row r="4" spans="1:16" x14ac:dyDescent="0.2">
      <c r="A4" s="2" t="s">
        <v>153</v>
      </c>
      <c r="B4" s="2" t="s">
        <v>56</v>
      </c>
      <c r="C4" s="6">
        <v>0.10199999999999999</v>
      </c>
      <c r="D4" s="133">
        <v>2.8</v>
      </c>
      <c r="E4" s="8">
        <f t="shared" si="0"/>
        <v>27.450980392156861</v>
      </c>
      <c r="L4" s="2" t="s">
        <v>153</v>
      </c>
      <c r="M4" s="2" t="s">
        <v>56</v>
      </c>
      <c r="N4" s="2">
        <v>0.10199999999999999</v>
      </c>
      <c r="O4" s="2">
        <v>2.8</v>
      </c>
      <c r="P4" s="2">
        <v>27.450980392156861</v>
      </c>
    </row>
    <row r="5" spans="1:16" x14ac:dyDescent="0.2">
      <c r="A5" s="2" t="s">
        <v>153</v>
      </c>
      <c r="B5" s="2" t="s">
        <v>151</v>
      </c>
      <c r="C5" s="6">
        <v>0.122</v>
      </c>
      <c r="D5" s="133">
        <v>3.8</v>
      </c>
      <c r="E5" s="8">
        <f t="shared" si="0"/>
        <v>31.147540983606557</v>
      </c>
      <c r="L5" s="2" t="s">
        <v>153</v>
      </c>
      <c r="M5" s="2" t="s">
        <v>151</v>
      </c>
      <c r="N5" s="2">
        <v>0.122</v>
      </c>
      <c r="O5" s="2">
        <v>3.8</v>
      </c>
      <c r="P5" s="2">
        <v>31.147540983606557</v>
      </c>
    </row>
    <row r="6" spans="1:16" x14ac:dyDescent="0.2">
      <c r="A6" s="2" t="s">
        <v>131</v>
      </c>
      <c r="B6" s="2" t="s">
        <v>380</v>
      </c>
      <c r="C6" s="6">
        <v>0.23300000000000001</v>
      </c>
      <c r="D6" s="133">
        <v>2.8</v>
      </c>
      <c r="E6" s="8">
        <f t="shared" si="0"/>
        <v>12.017167381974248</v>
      </c>
      <c r="L6" s="2" t="s">
        <v>131</v>
      </c>
      <c r="M6" s="2" t="s">
        <v>380</v>
      </c>
      <c r="N6" s="2">
        <v>0.23300000000000001</v>
      </c>
      <c r="O6" s="2">
        <v>2.8</v>
      </c>
      <c r="P6" s="2">
        <v>12.017167381974248</v>
      </c>
    </row>
    <row r="7" spans="1:16" x14ac:dyDescent="0.2">
      <c r="A7" s="2" t="s">
        <v>153</v>
      </c>
      <c r="B7" s="2" t="s">
        <v>152</v>
      </c>
      <c r="C7" s="6">
        <v>0.255</v>
      </c>
      <c r="D7" s="133">
        <v>13.9</v>
      </c>
      <c r="E7" s="8">
        <f t="shared" si="0"/>
        <v>54.509803921568626</v>
      </c>
      <c r="L7" s="2" t="s">
        <v>153</v>
      </c>
      <c r="M7" s="2" t="s">
        <v>152</v>
      </c>
      <c r="N7" s="2">
        <v>0.255</v>
      </c>
      <c r="O7" s="2">
        <v>13.9</v>
      </c>
      <c r="P7" s="2">
        <v>54.509803921568626</v>
      </c>
    </row>
    <row r="8" spans="1:16" x14ac:dyDescent="0.2">
      <c r="A8" s="2" t="s">
        <v>114</v>
      </c>
      <c r="B8" s="2" t="s">
        <v>87</v>
      </c>
      <c r="C8" s="6">
        <v>0.27600000000000002</v>
      </c>
      <c r="D8" s="133">
        <v>3.9</v>
      </c>
      <c r="E8" s="8">
        <f t="shared" si="0"/>
        <v>14.130434782608694</v>
      </c>
      <c r="L8" s="2" t="s">
        <v>114</v>
      </c>
      <c r="M8" s="2" t="s">
        <v>87</v>
      </c>
      <c r="N8" s="2">
        <v>0.27600000000000002</v>
      </c>
      <c r="O8" s="2">
        <v>3.9</v>
      </c>
      <c r="P8" s="2">
        <v>14.130434782608694</v>
      </c>
    </row>
    <row r="9" spans="1:16" x14ac:dyDescent="0.2">
      <c r="A9" s="2" t="s">
        <v>131</v>
      </c>
      <c r="B9" s="2" t="s">
        <v>123</v>
      </c>
      <c r="C9" s="6">
        <v>0.29199999999999998</v>
      </c>
      <c r="D9" s="133">
        <v>2.9</v>
      </c>
      <c r="E9" s="8">
        <f t="shared" si="0"/>
        <v>9.9315068493150687</v>
      </c>
      <c r="L9" s="2" t="s">
        <v>131</v>
      </c>
      <c r="M9" s="2" t="s">
        <v>123</v>
      </c>
      <c r="N9" s="2">
        <v>0.29199999999999998</v>
      </c>
      <c r="O9" s="2">
        <v>2.9</v>
      </c>
      <c r="P9" s="2">
        <v>9.9315068493150687</v>
      </c>
    </row>
    <row r="10" spans="1:16" x14ac:dyDescent="0.2">
      <c r="A10" s="2" t="s">
        <v>153</v>
      </c>
      <c r="B10" s="2" t="s">
        <v>150</v>
      </c>
      <c r="C10" s="6">
        <v>0.313</v>
      </c>
      <c r="D10" s="133">
        <v>2.8</v>
      </c>
      <c r="E10" s="8">
        <f t="shared" si="0"/>
        <v>8.9456869009584654</v>
      </c>
      <c r="L10" s="2" t="s">
        <v>153</v>
      </c>
      <c r="M10" s="2" t="s">
        <v>150</v>
      </c>
      <c r="N10" s="2">
        <v>0.313</v>
      </c>
      <c r="O10" s="2">
        <v>2.8</v>
      </c>
      <c r="P10" s="2">
        <v>8.9456869009584654</v>
      </c>
    </row>
    <row r="11" spans="1:16" x14ac:dyDescent="0.2">
      <c r="A11" s="2" t="s">
        <v>154</v>
      </c>
      <c r="B11" s="2" t="s">
        <v>159</v>
      </c>
      <c r="C11" s="6">
        <v>0.37</v>
      </c>
      <c r="D11" s="133">
        <v>3.5</v>
      </c>
      <c r="E11" s="8">
        <f t="shared" si="0"/>
        <v>9.4594594594594597</v>
      </c>
      <c r="L11" s="2" t="s">
        <v>154</v>
      </c>
      <c r="M11" s="2" t="s">
        <v>159</v>
      </c>
      <c r="N11" s="2">
        <v>0.37</v>
      </c>
      <c r="O11" s="2">
        <v>3.5</v>
      </c>
      <c r="P11" s="2">
        <v>9.4594594594594597</v>
      </c>
    </row>
    <row r="12" spans="1:16" x14ac:dyDescent="0.2">
      <c r="A12" s="2" t="s">
        <v>154</v>
      </c>
      <c r="B12" s="2" t="s">
        <v>161</v>
      </c>
      <c r="C12" s="6">
        <v>0.37</v>
      </c>
      <c r="D12" s="133">
        <v>4.5</v>
      </c>
      <c r="E12" s="8">
        <f t="shared" si="0"/>
        <v>12.162162162162163</v>
      </c>
      <c r="L12" s="2" t="s">
        <v>154</v>
      </c>
      <c r="M12" s="2" t="s">
        <v>161</v>
      </c>
      <c r="N12" s="2">
        <v>0.37</v>
      </c>
      <c r="O12" s="2">
        <v>4.5</v>
      </c>
      <c r="P12" s="2">
        <v>12.162162162162163</v>
      </c>
    </row>
    <row r="13" spans="1:16" x14ac:dyDescent="0.2">
      <c r="A13" s="2" t="s">
        <v>154</v>
      </c>
      <c r="B13" s="2" t="s">
        <v>157</v>
      </c>
      <c r="C13" s="6">
        <v>0.38900000000000001</v>
      </c>
      <c r="D13" s="133">
        <v>3.2</v>
      </c>
      <c r="E13" s="8">
        <f t="shared" si="0"/>
        <v>8.2262210796915163</v>
      </c>
      <c r="L13" s="2" t="s">
        <v>154</v>
      </c>
      <c r="M13" s="2" t="s">
        <v>157</v>
      </c>
      <c r="N13" s="2">
        <v>0.38900000000000001</v>
      </c>
      <c r="O13" s="2">
        <v>3.2</v>
      </c>
      <c r="P13" s="2">
        <v>8.2262210796915163</v>
      </c>
    </row>
    <row r="14" spans="1:16" x14ac:dyDescent="0.2">
      <c r="A14" s="2" t="s">
        <v>155</v>
      </c>
      <c r="B14" s="2" t="s">
        <v>141</v>
      </c>
      <c r="C14" s="6">
        <v>0.39900000000000002</v>
      </c>
      <c r="D14" s="133">
        <v>3.4</v>
      </c>
      <c r="E14" s="8">
        <f t="shared" si="0"/>
        <v>8.5213032581453625</v>
      </c>
      <c r="L14" s="2" t="s">
        <v>155</v>
      </c>
      <c r="M14" s="2" t="s">
        <v>141</v>
      </c>
      <c r="N14" s="2">
        <v>0.39900000000000002</v>
      </c>
      <c r="O14" s="2">
        <v>3.4</v>
      </c>
      <c r="P14" s="2">
        <v>8.5213032581453625</v>
      </c>
    </row>
    <row r="15" spans="1:16" x14ac:dyDescent="0.2">
      <c r="A15" s="2" t="s">
        <v>154</v>
      </c>
      <c r="B15" s="2" t="s">
        <v>158</v>
      </c>
      <c r="C15" s="6">
        <v>0.42599999999999999</v>
      </c>
      <c r="D15" s="133">
        <v>3.4</v>
      </c>
      <c r="E15" s="8">
        <f t="shared" si="0"/>
        <v>7.981220657276995</v>
      </c>
      <c r="L15" s="2" t="s">
        <v>154</v>
      </c>
      <c r="M15" s="2" t="s">
        <v>158</v>
      </c>
      <c r="N15" s="2">
        <v>0.42599999999999999</v>
      </c>
      <c r="O15" s="2">
        <v>3.4</v>
      </c>
      <c r="P15" s="2">
        <v>7.981220657276995</v>
      </c>
    </row>
    <row r="16" spans="1:16" x14ac:dyDescent="0.2">
      <c r="A16" s="2" t="s">
        <v>154</v>
      </c>
      <c r="B16" s="2" t="s">
        <v>401</v>
      </c>
      <c r="C16" s="6">
        <v>0.442</v>
      </c>
      <c r="D16" s="133">
        <v>3.6</v>
      </c>
      <c r="E16" s="8">
        <f t="shared" si="0"/>
        <v>8.1447963800904972</v>
      </c>
      <c r="L16" s="2" t="s">
        <v>154</v>
      </c>
      <c r="M16" s="2" t="s">
        <v>401</v>
      </c>
      <c r="N16" s="2">
        <v>0.442</v>
      </c>
      <c r="O16" s="2">
        <v>3.6</v>
      </c>
      <c r="P16" s="2">
        <v>8.1447963800904972</v>
      </c>
    </row>
    <row r="17" spans="1:16" x14ac:dyDescent="0.2">
      <c r="A17" s="2" t="s">
        <v>131</v>
      </c>
      <c r="B17" s="2" t="s">
        <v>124</v>
      </c>
      <c r="C17" s="6">
        <v>0.44400000000000001</v>
      </c>
      <c r="D17" s="133">
        <v>2.9</v>
      </c>
      <c r="E17" s="8">
        <f t="shared" si="0"/>
        <v>6.531531531531531</v>
      </c>
      <c r="L17" s="2" t="s">
        <v>131</v>
      </c>
      <c r="M17" s="2" t="s">
        <v>124</v>
      </c>
      <c r="N17" s="2">
        <v>0.44400000000000001</v>
      </c>
      <c r="O17" s="2">
        <v>2.9</v>
      </c>
      <c r="P17" s="2">
        <v>6.531531531531531</v>
      </c>
    </row>
    <row r="18" spans="1:16" x14ac:dyDescent="0.2">
      <c r="A18" s="2" t="s">
        <v>156</v>
      </c>
      <c r="B18" s="2" t="s">
        <v>144</v>
      </c>
      <c r="C18" s="6">
        <v>0.52700000000000002</v>
      </c>
      <c r="D18" s="133">
        <v>3.9</v>
      </c>
      <c r="E18" s="8">
        <f t="shared" si="0"/>
        <v>7.4003795066413653</v>
      </c>
      <c r="L18" s="2" t="s">
        <v>156</v>
      </c>
      <c r="M18" s="2" t="s">
        <v>144</v>
      </c>
      <c r="N18" s="2">
        <v>0.52700000000000002</v>
      </c>
      <c r="O18" s="2">
        <v>3.9</v>
      </c>
      <c r="P18" s="2">
        <v>7.4003795066413653</v>
      </c>
    </row>
    <row r="19" spans="1:16" x14ac:dyDescent="0.2">
      <c r="A19" s="2" t="s">
        <v>118</v>
      </c>
      <c r="B19" s="2" t="s">
        <v>126</v>
      </c>
      <c r="C19" s="6">
        <v>0.53300000000000003</v>
      </c>
      <c r="D19" s="133">
        <v>3.9</v>
      </c>
      <c r="E19" s="8">
        <f t="shared" si="0"/>
        <v>7.3170731707317067</v>
      </c>
      <c r="L19" s="2" t="s">
        <v>118</v>
      </c>
      <c r="M19" s="2" t="s">
        <v>126</v>
      </c>
      <c r="N19" s="2">
        <v>0.53300000000000003</v>
      </c>
      <c r="O19" s="2">
        <v>3.9</v>
      </c>
      <c r="P19" s="2">
        <v>7.3170731707317067</v>
      </c>
    </row>
    <row r="20" spans="1:16" x14ac:dyDescent="0.2">
      <c r="A20" s="2" t="s">
        <v>155</v>
      </c>
      <c r="B20" s="2" t="s">
        <v>142</v>
      </c>
      <c r="C20" s="6">
        <v>0.55100000000000005</v>
      </c>
      <c r="D20" s="133">
        <v>4.0999999999999996</v>
      </c>
      <c r="E20" s="8">
        <f t="shared" si="0"/>
        <v>7.4410163339382924</v>
      </c>
      <c r="L20" s="2" t="s">
        <v>155</v>
      </c>
      <c r="M20" s="2" t="s">
        <v>142</v>
      </c>
      <c r="N20" s="2">
        <v>0.55100000000000005</v>
      </c>
      <c r="O20" s="2">
        <v>4.0999999999999996</v>
      </c>
      <c r="P20" s="2">
        <v>7.4410163339382924</v>
      </c>
    </row>
    <row r="21" spans="1:16" x14ac:dyDescent="0.2">
      <c r="A21" s="2" t="s">
        <v>155</v>
      </c>
      <c r="B21" s="2" t="s">
        <v>143</v>
      </c>
      <c r="C21" s="6">
        <v>0.624</v>
      </c>
      <c r="D21" s="133">
        <v>4.0999999999999996</v>
      </c>
      <c r="E21" s="8">
        <f t="shared" si="0"/>
        <v>6.5705128205128203</v>
      </c>
      <c r="L21" s="2" t="s">
        <v>155</v>
      </c>
      <c r="M21" s="2" t="s">
        <v>143</v>
      </c>
      <c r="N21" s="2">
        <v>0.624</v>
      </c>
      <c r="O21" s="2">
        <v>4.0999999999999996</v>
      </c>
      <c r="P21" s="2">
        <v>6.5705128205128203</v>
      </c>
    </row>
    <row r="22" spans="1:16" x14ac:dyDescent="0.2">
      <c r="A22" s="2" t="s">
        <v>153</v>
      </c>
      <c r="B22" s="2" t="s">
        <v>149</v>
      </c>
      <c r="C22" s="6">
        <v>0.629</v>
      </c>
      <c r="D22" s="133">
        <v>4.2</v>
      </c>
      <c r="E22" s="8">
        <f t="shared" si="0"/>
        <v>6.6772655007949124</v>
      </c>
      <c r="L22" s="2" t="s">
        <v>153</v>
      </c>
      <c r="M22" s="2" t="s">
        <v>149</v>
      </c>
      <c r="N22" s="2">
        <v>0.629</v>
      </c>
      <c r="O22" s="2">
        <v>4.2</v>
      </c>
      <c r="P22" s="2">
        <v>6.6772655007949124</v>
      </c>
    </row>
    <row r="23" spans="1:16" x14ac:dyDescent="0.2">
      <c r="A23" s="2" t="s">
        <v>154</v>
      </c>
      <c r="B23" s="2" t="s">
        <v>140</v>
      </c>
      <c r="C23" s="6">
        <v>0.63</v>
      </c>
      <c r="D23" s="133">
        <v>3.6</v>
      </c>
      <c r="E23" s="8">
        <f t="shared" si="0"/>
        <v>5.7142857142857144</v>
      </c>
      <c r="L23" s="2" t="s">
        <v>154</v>
      </c>
      <c r="M23" s="2" t="s">
        <v>140</v>
      </c>
      <c r="N23" s="2">
        <v>0.63</v>
      </c>
      <c r="O23" s="2">
        <v>3.6</v>
      </c>
      <c r="P23" s="2">
        <v>5.7142857142857144</v>
      </c>
    </row>
    <row r="24" spans="1:16" x14ac:dyDescent="0.2">
      <c r="A24" s="2" t="s">
        <v>154</v>
      </c>
      <c r="B24" s="2" t="s">
        <v>160</v>
      </c>
      <c r="C24" s="6">
        <v>0.63400000000000001</v>
      </c>
      <c r="D24" s="133">
        <v>4.4000000000000004</v>
      </c>
      <c r="E24" s="8">
        <f t="shared" si="0"/>
        <v>6.9400630914826502</v>
      </c>
      <c r="L24" s="2" t="s">
        <v>154</v>
      </c>
      <c r="M24" s="2" t="s">
        <v>160</v>
      </c>
      <c r="N24" s="2">
        <v>0.63400000000000001</v>
      </c>
      <c r="O24" s="2">
        <v>4.4000000000000004</v>
      </c>
      <c r="P24" s="2">
        <v>6.9400630914826502</v>
      </c>
    </row>
    <row r="25" spans="1:16" x14ac:dyDescent="0.2">
      <c r="A25" s="2" t="s">
        <v>131</v>
      </c>
      <c r="B25" s="2" t="s">
        <v>121</v>
      </c>
      <c r="C25" s="6">
        <v>0.747</v>
      </c>
      <c r="D25" s="133">
        <v>3.9</v>
      </c>
      <c r="E25" s="8">
        <f t="shared" si="0"/>
        <v>5.2208835341365463</v>
      </c>
      <c r="L25" s="2" t="s">
        <v>131</v>
      </c>
      <c r="M25" s="2" t="s">
        <v>121</v>
      </c>
      <c r="N25" s="2">
        <v>0.747</v>
      </c>
      <c r="O25" s="2">
        <v>3.9</v>
      </c>
      <c r="P25" s="2">
        <v>5.2208835341365463</v>
      </c>
    </row>
    <row r="26" spans="1:16" x14ac:dyDescent="0.2">
      <c r="A26" s="2" t="s">
        <v>156</v>
      </c>
      <c r="B26" s="2" t="s">
        <v>146</v>
      </c>
      <c r="C26" s="6">
        <v>0.76600000000000001</v>
      </c>
      <c r="D26" s="133">
        <v>3.9</v>
      </c>
      <c r="E26" s="8">
        <f t="shared" si="0"/>
        <v>5.0913838120104433</v>
      </c>
      <c r="L26" s="2" t="s">
        <v>156</v>
      </c>
      <c r="M26" s="2" t="s">
        <v>146</v>
      </c>
      <c r="N26" s="2">
        <v>0.76600000000000001</v>
      </c>
      <c r="O26" s="2">
        <v>3.9</v>
      </c>
      <c r="P26" s="2">
        <v>5.0913838120104433</v>
      </c>
    </row>
    <row r="27" spans="1:16" x14ac:dyDescent="0.2">
      <c r="A27" s="2" t="s">
        <v>114</v>
      </c>
      <c r="B27" s="2" t="s">
        <v>108</v>
      </c>
      <c r="C27" s="6">
        <v>0.79500000000000004</v>
      </c>
      <c r="D27" s="133">
        <v>4.5</v>
      </c>
      <c r="E27" s="8">
        <f t="shared" si="0"/>
        <v>5.6603773584905657</v>
      </c>
      <c r="L27" s="2" t="s">
        <v>114</v>
      </c>
      <c r="M27" s="2" t="s">
        <v>108</v>
      </c>
      <c r="N27" s="2">
        <v>0.79500000000000004</v>
      </c>
      <c r="O27" s="2">
        <v>4.5</v>
      </c>
      <c r="P27" s="2">
        <v>5.6603773584905657</v>
      </c>
    </row>
    <row r="28" spans="1:16" x14ac:dyDescent="0.2">
      <c r="A28" s="2" t="s">
        <v>156</v>
      </c>
      <c r="B28" s="2" t="s">
        <v>145</v>
      </c>
      <c r="C28" s="6">
        <v>0.81499999999999995</v>
      </c>
      <c r="D28" s="133">
        <v>4.5999999999999996</v>
      </c>
      <c r="E28" s="8">
        <f t="shared" si="0"/>
        <v>5.6441717791411046</v>
      </c>
      <c r="L28" s="2" t="s">
        <v>156</v>
      </c>
      <c r="M28" s="2" t="s">
        <v>145</v>
      </c>
      <c r="N28" s="2">
        <v>0.81499999999999995</v>
      </c>
      <c r="O28" s="2">
        <v>4.5999999999999996</v>
      </c>
      <c r="P28" s="2">
        <v>5.6441717791411046</v>
      </c>
    </row>
    <row r="29" spans="1:16" x14ac:dyDescent="0.2">
      <c r="A29" s="2" t="s">
        <v>118</v>
      </c>
      <c r="B29" s="2" t="s">
        <v>116</v>
      </c>
      <c r="C29" s="6">
        <v>0.82299999999999995</v>
      </c>
      <c r="D29" s="133">
        <v>4.7</v>
      </c>
      <c r="E29" s="8">
        <f t="shared" si="0"/>
        <v>5.7108140947752135</v>
      </c>
      <c r="L29" s="2" t="s">
        <v>118</v>
      </c>
      <c r="M29" s="2" t="s">
        <v>116</v>
      </c>
      <c r="N29" s="2">
        <v>0.82299999999999995</v>
      </c>
      <c r="O29" s="2">
        <v>4.7</v>
      </c>
      <c r="P29" s="2">
        <v>5.7108140947752135</v>
      </c>
    </row>
    <row r="30" spans="1:16" x14ac:dyDescent="0.2">
      <c r="A30" s="2" t="s">
        <v>114</v>
      </c>
      <c r="B30" s="2" t="s">
        <v>91</v>
      </c>
      <c r="C30" s="6">
        <v>0.97799999999999998</v>
      </c>
      <c r="D30" s="133">
        <v>4.8</v>
      </c>
      <c r="E30" s="8">
        <f t="shared" si="0"/>
        <v>4.9079754601226995</v>
      </c>
      <c r="L30" s="2" t="s">
        <v>114</v>
      </c>
      <c r="M30" s="2" t="s">
        <v>91</v>
      </c>
      <c r="N30" s="2">
        <v>0.97799999999999998</v>
      </c>
      <c r="O30" s="2">
        <v>4.8</v>
      </c>
      <c r="P30" s="2">
        <v>4.9079754601226995</v>
      </c>
    </row>
    <row r="31" spans="1:16" x14ac:dyDescent="0.2">
      <c r="A31" s="2" t="s">
        <v>118</v>
      </c>
      <c r="B31" s="2" t="s">
        <v>120</v>
      </c>
      <c r="C31" s="6">
        <v>1.0149999999999999</v>
      </c>
      <c r="D31" s="133">
        <v>4.9000000000000004</v>
      </c>
      <c r="E31" s="8">
        <f t="shared" si="0"/>
        <v>4.8275862068965525</v>
      </c>
      <c r="L31" s="2" t="s">
        <v>118</v>
      </c>
      <c r="M31" s="2" t="s">
        <v>120</v>
      </c>
      <c r="N31" s="2">
        <v>1.0149999999999999</v>
      </c>
      <c r="O31" s="2">
        <v>4.9000000000000004</v>
      </c>
      <c r="P31" s="2">
        <v>4.8275862068965525</v>
      </c>
    </row>
    <row r="32" spans="1:16" x14ac:dyDescent="0.2">
      <c r="A32" s="2" t="s">
        <v>114</v>
      </c>
      <c r="B32" s="2" t="s">
        <v>94</v>
      </c>
      <c r="C32" s="6">
        <v>1.0269999999999999</v>
      </c>
      <c r="D32" s="133">
        <v>9</v>
      </c>
      <c r="E32" s="8">
        <f t="shared" si="0"/>
        <v>8.7633885102239546</v>
      </c>
      <c r="L32" s="2" t="s">
        <v>114</v>
      </c>
      <c r="M32" s="2" t="s">
        <v>94</v>
      </c>
      <c r="N32" s="2">
        <v>1.0269999999999999</v>
      </c>
      <c r="O32" s="2">
        <v>9</v>
      </c>
      <c r="P32" s="2">
        <v>8.7633885102239546</v>
      </c>
    </row>
    <row r="33" spans="1:16" x14ac:dyDescent="0.2">
      <c r="A33" s="2" t="s">
        <v>156</v>
      </c>
      <c r="B33" s="2" t="s">
        <v>147</v>
      </c>
      <c r="C33" s="6">
        <v>1.0940000000000001</v>
      </c>
      <c r="D33" s="133">
        <v>5.7</v>
      </c>
      <c r="E33" s="8">
        <f t="shared" si="0"/>
        <v>5.210237659963437</v>
      </c>
      <c r="L33" s="2" t="s">
        <v>156</v>
      </c>
      <c r="M33" s="2" t="s">
        <v>147</v>
      </c>
      <c r="N33" s="2">
        <v>1.0940000000000001</v>
      </c>
      <c r="O33" s="2">
        <v>5.7</v>
      </c>
      <c r="P33" s="2">
        <v>5.210237659963437</v>
      </c>
    </row>
    <row r="34" spans="1:16" x14ac:dyDescent="0.2">
      <c r="A34" s="2" t="s">
        <v>156</v>
      </c>
      <c r="B34" s="2" t="s">
        <v>148</v>
      </c>
      <c r="C34" s="6">
        <v>1.0940000000000001</v>
      </c>
      <c r="D34" s="133">
        <v>5.9</v>
      </c>
      <c r="E34" s="8">
        <f t="shared" si="0"/>
        <v>5.3930530164533819</v>
      </c>
      <c r="L34" s="2" t="s">
        <v>156</v>
      </c>
      <c r="M34" s="2" t="s">
        <v>148</v>
      </c>
      <c r="N34" s="2">
        <v>1.0940000000000001</v>
      </c>
      <c r="O34" s="2">
        <v>5.9</v>
      </c>
      <c r="P34" s="2">
        <v>5.3930530164533819</v>
      </c>
    </row>
    <row r="35" spans="1:16" x14ac:dyDescent="0.2">
      <c r="A35" s="2" t="s">
        <v>114</v>
      </c>
      <c r="B35" s="2" t="s">
        <v>107</v>
      </c>
      <c r="C35" s="6">
        <v>1.73</v>
      </c>
      <c r="D35" s="133">
        <v>6.2</v>
      </c>
      <c r="E35" s="8">
        <f t="shared" si="0"/>
        <v>3.5838150289017343</v>
      </c>
      <c r="L35" s="2" t="s">
        <v>114</v>
      </c>
      <c r="M35" s="2" t="s">
        <v>107</v>
      </c>
      <c r="N35" s="2">
        <v>1.73</v>
      </c>
      <c r="O35" s="2">
        <v>6.2</v>
      </c>
      <c r="P35" s="2">
        <v>3.5838150289017343</v>
      </c>
    </row>
    <row r="36" spans="1:16" x14ac:dyDescent="0.2">
      <c r="A36" s="2" t="s">
        <v>114</v>
      </c>
      <c r="B36" s="2" t="s">
        <v>99</v>
      </c>
      <c r="C36" s="6">
        <v>1.982</v>
      </c>
      <c r="D36" s="133">
        <v>3.2</v>
      </c>
      <c r="E36" s="8">
        <f t="shared" si="0"/>
        <v>1.6145307769929365</v>
      </c>
      <c r="L36" s="2" t="s">
        <v>114</v>
      </c>
      <c r="M36" s="2" t="s">
        <v>99</v>
      </c>
      <c r="N36" s="2">
        <v>1.982</v>
      </c>
      <c r="O36" s="2">
        <v>3.2</v>
      </c>
      <c r="P36" s="2">
        <v>1.6145307769929365</v>
      </c>
    </row>
    <row r="37" spans="1:16" x14ac:dyDescent="0.2">
      <c r="A37" s="2" t="s">
        <v>114</v>
      </c>
      <c r="B37" s="2" t="s">
        <v>95</v>
      </c>
      <c r="C37" s="6">
        <v>2.9889999999999999</v>
      </c>
      <c r="D37" s="133">
        <v>11.9</v>
      </c>
      <c r="E37" s="8">
        <f t="shared" si="0"/>
        <v>3.9812646370023423</v>
      </c>
      <c r="L37" s="2" t="s">
        <v>114</v>
      </c>
      <c r="M37" s="2" t="s">
        <v>95</v>
      </c>
      <c r="N37" s="2">
        <v>2.9889999999999999</v>
      </c>
      <c r="O37" s="2">
        <v>11.9</v>
      </c>
      <c r="P37" s="2">
        <v>3.9812646370023423</v>
      </c>
    </row>
    <row r="38" spans="1:16" x14ac:dyDescent="0.2">
      <c r="A38" s="2" t="s">
        <v>114</v>
      </c>
      <c r="B38" s="2" t="s">
        <v>92</v>
      </c>
      <c r="C38" s="6">
        <v>4.1120000000000001</v>
      </c>
      <c r="D38" s="133">
        <v>5.3</v>
      </c>
      <c r="E38" s="8">
        <f t="shared" si="0"/>
        <v>1.2889105058365757</v>
      </c>
      <c r="L38" s="2" t="s">
        <v>114</v>
      </c>
      <c r="M38" s="2" t="s">
        <v>92</v>
      </c>
      <c r="N38" s="2">
        <v>4.1120000000000001</v>
      </c>
      <c r="O38" s="2">
        <v>5.3</v>
      </c>
      <c r="P38" s="2">
        <v>1.2889105058365757</v>
      </c>
    </row>
  </sheetData>
  <sortState xmlns:xlrd2="http://schemas.microsoft.com/office/spreadsheetml/2017/richdata2" ref="A2:D38">
    <sortCondition ref="C2:C38"/>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M_TrierTableauParTypeParEcette">
                <anchor moveWithCells="1" sizeWithCells="1">
                  <from>
                    <xdr:col>5</xdr:col>
                    <xdr:colOff>38100</xdr:colOff>
                    <xdr:row>0</xdr:row>
                    <xdr:rowOff>241300</xdr:rowOff>
                  </from>
                  <to>
                    <xdr:col>6</xdr:col>
                    <xdr:colOff>736600</xdr:colOff>
                    <xdr:row>0</xdr:row>
                    <xdr:rowOff>838200</xdr:rowOff>
                  </to>
                </anchor>
              </controlPr>
            </control>
          </mc:Choice>
        </mc:AlternateContent>
        <mc:AlternateContent xmlns:mc="http://schemas.openxmlformats.org/markup-compatibility/2006">
          <mc:Choice Requires="x14">
            <control shapeId="20482" r:id="rId4" name="Button 2">
              <controlPr defaultSize="0" print="0" autoFill="0" autoPict="0" macro="[0]!M_TrierTableauParPrixDeVenteMin">
                <anchor moveWithCells="1" sizeWithCells="1">
                  <from>
                    <xdr:col>7</xdr:col>
                    <xdr:colOff>228600</xdr:colOff>
                    <xdr:row>0</xdr:row>
                    <xdr:rowOff>228600</xdr:rowOff>
                  </from>
                  <to>
                    <xdr:col>9</xdr:col>
                    <xdr:colOff>101600</xdr:colOff>
                    <xdr:row>0</xdr:row>
                    <xdr:rowOff>825500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C77DA-F846-0D41-AA0D-83EE86018DB7}">
  <sheetPr codeName="Feuil8"/>
  <dimension ref="A1:BC46"/>
  <sheetViews>
    <sheetView workbookViewId="0">
      <selection activeCell="E53" sqref="E53"/>
    </sheetView>
  </sheetViews>
  <sheetFormatPr baseColWidth="10" defaultColWidth="5.83203125" defaultRowHeight="16" x14ac:dyDescent="0.2"/>
  <cols>
    <col min="1" max="1" width="25.83203125" bestFit="1" customWidth="1"/>
    <col min="2" max="2" width="32.83203125" bestFit="1" customWidth="1"/>
    <col min="3" max="3" width="14.1640625" bestFit="1" customWidth="1"/>
    <col min="6" max="6" width="7.5" bestFit="1" customWidth="1"/>
  </cols>
  <sheetData>
    <row r="1" spans="1:55" s="81" customFormat="1" ht="34" x14ac:dyDescent="0.2">
      <c r="A1" s="4" t="str">
        <f>'Récapitulatif couts recettes'!A1</f>
        <v>Type</v>
      </c>
      <c r="B1" s="4" t="e">
        <f>'Récapitulatif couts recettes'!#REF!</f>
        <v>#REF!</v>
      </c>
      <c r="C1" s="4" t="s">
        <v>139</v>
      </c>
      <c r="D1" s="4">
        <f>1</f>
        <v>1</v>
      </c>
      <c r="E1" s="4">
        <f>D1+1</f>
        <v>2</v>
      </c>
      <c r="F1" s="4">
        <f t="shared" ref="F1:AQ1" si="0">E1+1</f>
        <v>3</v>
      </c>
      <c r="G1" s="4">
        <f t="shared" si="0"/>
        <v>4</v>
      </c>
      <c r="H1" s="4">
        <f t="shared" si="0"/>
        <v>5</v>
      </c>
      <c r="I1" s="4">
        <f t="shared" si="0"/>
        <v>6</v>
      </c>
      <c r="J1" s="4">
        <f t="shared" si="0"/>
        <v>7</v>
      </c>
      <c r="K1" s="4">
        <f t="shared" si="0"/>
        <v>8</v>
      </c>
      <c r="L1" s="4">
        <f t="shared" si="0"/>
        <v>9</v>
      </c>
      <c r="M1" s="4">
        <f t="shared" si="0"/>
        <v>10</v>
      </c>
      <c r="N1" s="4">
        <f t="shared" si="0"/>
        <v>11</v>
      </c>
      <c r="O1" s="4">
        <f t="shared" si="0"/>
        <v>12</v>
      </c>
      <c r="P1" s="4">
        <f t="shared" si="0"/>
        <v>13</v>
      </c>
      <c r="Q1" s="4">
        <f t="shared" si="0"/>
        <v>14</v>
      </c>
      <c r="R1" s="4">
        <f t="shared" si="0"/>
        <v>15</v>
      </c>
      <c r="S1" s="4">
        <f t="shared" si="0"/>
        <v>16</v>
      </c>
      <c r="T1" s="4">
        <f t="shared" si="0"/>
        <v>17</v>
      </c>
      <c r="U1" s="4">
        <f t="shared" si="0"/>
        <v>18</v>
      </c>
      <c r="V1" s="4">
        <f t="shared" si="0"/>
        <v>19</v>
      </c>
      <c r="W1" s="4">
        <f t="shared" si="0"/>
        <v>20</v>
      </c>
      <c r="X1" s="4">
        <f t="shared" si="0"/>
        <v>21</v>
      </c>
      <c r="Y1" s="4">
        <f t="shared" si="0"/>
        <v>22</v>
      </c>
      <c r="Z1" s="4">
        <f t="shared" si="0"/>
        <v>23</v>
      </c>
      <c r="AA1" s="4">
        <f t="shared" si="0"/>
        <v>24</v>
      </c>
      <c r="AB1" s="4">
        <f t="shared" si="0"/>
        <v>25</v>
      </c>
      <c r="AC1" s="4">
        <f t="shared" si="0"/>
        <v>26</v>
      </c>
      <c r="AD1" s="4">
        <f t="shared" si="0"/>
        <v>27</v>
      </c>
      <c r="AE1" s="4">
        <f t="shared" si="0"/>
        <v>28</v>
      </c>
      <c r="AF1" s="4">
        <f t="shared" si="0"/>
        <v>29</v>
      </c>
      <c r="AG1" s="4">
        <f t="shared" si="0"/>
        <v>30</v>
      </c>
      <c r="AH1" s="4">
        <f t="shared" si="0"/>
        <v>31</v>
      </c>
      <c r="AI1" s="4">
        <f t="shared" si="0"/>
        <v>32</v>
      </c>
      <c r="AJ1" s="4">
        <f t="shared" si="0"/>
        <v>33</v>
      </c>
      <c r="AK1" s="4">
        <f t="shared" si="0"/>
        <v>34</v>
      </c>
      <c r="AL1" s="4">
        <f t="shared" si="0"/>
        <v>35</v>
      </c>
      <c r="AM1" s="4">
        <f t="shared" si="0"/>
        <v>36</v>
      </c>
      <c r="AN1" s="4">
        <f t="shared" si="0"/>
        <v>37</v>
      </c>
      <c r="AO1" s="4">
        <f t="shared" si="0"/>
        <v>38</v>
      </c>
      <c r="AP1" s="4">
        <f t="shared" si="0"/>
        <v>39</v>
      </c>
      <c r="AQ1" s="4">
        <f t="shared" si="0"/>
        <v>40</v>
      </c>
      <c r="AR1" s="4">
        <f t="shared" ref="AR1" si="1">AQ1+1</f>
        <v>41</v>
      </c>
      <c r="AS1" s="4">
        <f t="shared" ref="AS1" si="2">AR1+1</f>
        <v>42</v>
      </c>
      <c r="AT1" s="4">
        <f t="shared" ref="AT1" si="3">AS1+1</f>
        <v>43</v>
      </c>
      <c r="AU1" s="4">
        <f t="shared" ref="AU1" si="4">AT1+1</f>
        <v>44</v>
      </c>
      <c r="AV1" s="4">
        <f t="shared" ref="AV1" si="5">AU1+1</f>
        <v>45</v>
      </c>
      <c r="AW1" s="4">
        <f t="shared" ref="AW1" si="6">AV1+1</f>
        <v>46</v>
      </c>
      <c r="AX1" s="4">
        <f t="shared" ref="AX1" si="7">AW1+1</f>
        <v>47</v>
      </c>
      <c r="AY1" s="4">
        <f t="shared" ref="AY1" si="8">AX1+1</f>
        <v>48</v>
      </c>
      <c r="AZ1" s="4">
        <f t="shared" ref="AZ1" si="9">AY1+1</f>
        <v>49</v>
      </c>
      <c r="BA1" s="4">
        <f t="shared" ref="BA1" si="10">AZ1+1</f>
        <v>50</v>
      </c>
      <c r="BB1" s="4">
        <f t="shared" ref="BB1:BC1" si="11">BA1+1</f>
        <v>51</v>
      </c>
      <c r="BC1" s="4">
        <f t="shared" si="11"/>
        <v>52</v>
      </c>
    </row>
    <row r="2" spans="1:55" s="78" customFormat="1" ht="17" x14ac:dyDescent="0.2">
      <c r="A2" s="73"/>
      <c r="B2" s="73"/>
      <c r="C2" s="73" t="s">
        <v>281</v>
      </c>
      <c r="D2" s="73">
        <f>SUM(D3:D38)</f>
        <v>317</v>
      </c>
      <c r="E2" s="73">
        <f t="shared" ref="E2:BC2" si="12">SUM(E3:E38)</f>
        <v>266</v>
      </c>
      <c r="F2" s="73">
        <f t="shared" si="12"/>
        <v>0</v>
      </c>
      <c r="G2" s="73">
        <f t="shared" si="12"/>
        <v>0</v>
      </c>
      <c r="H2" s="73">
        <f t="shared" si="12"/>
        <v>0</v>
      </c>
      <c r="I2" s="73">
        <f t="shared" si="12"/>
        <v>0</v>
      </c>
      <c r="J2" s="73">
        <f t="shared" si="12"/>
        <v>0</v>
      </c>
      <c r="K2" s="73">
        <f t="shared" si="12"/>
        <v>0</v>
      </c>
      <c r="L2" s="73">
        <f t="shared" si="12"/>
        <v>0</v>
      </c>
      <c r="M2" s="73">
        <f t="shared" si="12"/>
        <v>0</v>
      </c>
      <c r="N2" s="73">
        <f t="shared" si="12"/>
        <v>0</v>
      </c>
      <c r="O2" s="73">
        <f t="shared" si="12"/>
        <v>0</v>
      </c>
      <c r="P2" s="73">
        <f t="shared" si="12"/>
        <v>0</v>
      </c>
      <c r="Q2" s="73">
        <f t="shared" si="12"/>
        <v>0</v>
      </c>
      <c r="R2" s="73">
        <f t="shared" si="12"/>
        <v>0</v>
      </c>
      <c r="S2" s="73">
        <f t="shared" si="12"/>
        <v>0</v>
      </c>
      <c r="T2" s="73">
        <f t="shared" si="12"/>
        <v>0</v>
      </c>
      <c r="U2" s="73">
        <f t="shared" si="12"/>
        <v>0</v>
      </c>
      <c r="V2" s="73">
        <f t="shared" si="12"/>
        <v>0</v>
      </c>
      <c r="W2" s="73">
        <f t="shared" si="12"/>
        <v>0</v>
      </c>
      <c r="X2" s="73">
        <f t="shared" si="12"/>
        <v>0</v>
      </c>
      <c r="Y2" s="73">
        <f t="shared" si="12"/>
        <v>0</v>
      </c>
      <c r="Z2" s="73">
        <f t="shared" si="12"/>
        <v>0</v>
      </c>
      <c r="AA2" s="73">
        <f t="shared" si="12"/>
        <v>0</v>
      </c>
      <c r="AB2" s="73">
        <f t="shared" si="12"/>
        <v>0</v>
      </c>
      <c r="AC2" s="73">
        <f t="shared" si="12"/>
        <v>0</v>
      </c>
      <c r="AD2" s="73">
        <f t="shared" si="12"/>
        <v>0</v>
      </c>
      <c r="AE2" s="73">
        <f t="shared" si="12"/>
        <v>0</v>
      </c>
      <c r="AF2" s="73">
        <f t="shared" si="12"/>
        <v>0</v>
      </c>
      <c r="AG2" s="73">
        <f t="shared" si="12"/>
        <v>0</v>
      </c>
      <c r="AH2" s="73">
        <f t="shared" si="12"/>
        <v>0</v>
      </c>
      <c r="AI2" s="73">
        <f t="shared" si="12"/>
        <v>0</v>
      </c>
      <c r="AJ2" s="73">
        <f t="shared" si="12"/>
        <v>0</v>
      </c>
      <c r="AK2" s="73">
        <f t="shared" si="12"/>
        <v>0</v>
      </c>
      <c r="AL2" s="73">
        <f t="shared" si="12"/>
        <v>0</v>
      </c>
      <c r="AM2" s="73">
        <f t="shared" si="12"/>
        <v>0</v>
      </c>
      <c r="AN2" s="73">
        <f t="shared" si="12"/>
        <v>0</v>
      </c>
      <c r="AO2" s="73">
        <f t="shared" si="12"/>
        <v>0</v>
      </c>
      <c r="AP2" s="73">
        <f t="shared" si="12"/>
        <v>0</v>
      </c>
      <c r="AQ2" s="73">
        <f t="shared" si="12"/>
        <v>0</v>
      </c>
      <c r="AR2" s="73">
        <f t="shared" si="12"/>
        <v>0</v>
      </c>
      <c r="AS2" s="73">
        <f t="shared" si="12"/>
        <v>0</v>
      </c>
      <c r="AT2" s="73">
        <f t="shared" si="12"/>
        <v>0</v>
      </c>
      <c r="AU2" s="73">
        <f t="shared" si="12"/>
        <v>0</v>
      </c>
      <c r="AV2" s="73">
        <f t="shared" si="12"/>
        <v>0</v>
      </c>
      <c r="AW2" s="73">
        <f t="shared" si="12"/>
        <v>0</v>
      </c>
      <c r="AX2" s="73">
        <f t="shared" si="12"/>
        <v>0</v>
      </c>
      <c r="AY2" s="73">
        <f t="shared" si="12"/>
        <v>0</v>
      </c>
      <c r="AZ2" s="73">
        <f t="shared" si="12"/>
        <v>0</v>
      </c>
      <c r="BA2" s="73">
        <f t="shared" si="12"/>
        <v>0</v>
      </c>
      <c r="BB2" s="73">
        <f t="shared" si="12"/>
        <v>0</v>
      </c>
      <c r="BC2" s="73">
        <f t="shared" si="12"/>
        <v>0</v>
      </c>
    </row>
    <row r="3" spans="1:55" x14ac:dyDescent="0.2">
      <c r="A3" s="79" t="e">
        <f>'Récapitulatif couts recettes'!#REF!</f>
        <v>#REF!</v>
      </c>
      <c r="B3" s="79" t="e">
        <f>'Récapitulatif couts recettes'!#REF!</f>
        <v>#REF!</v>
      </c>
      <c r="C3" s="80"/>
      <c r="D3" s="80">
        <v>6</v>
      </c>
      <c r="E3" s="80">
        <v>5</v>
      </c>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row>
    <row r="4" spans="1:55" x14ac:dyDescent="0.2">
      <c r="A4" s="71" t="e">
        <f>'Récapitulatif couts recettes'!#REF!</f>
        <v>#REF!</v>
      </c>
      <c r="B4" s="71" t="e">
        <f>'Récapitulatif couts recettes'!#REF!</f>
        <v>#REF!</v>
      </c>
      <c r="C4" s="2"/>
      <c r="D4" s="2">
        <v>17</v>
      </c>
      <c r="E4" s="80">
        <v>15</v>
      </c>
      <c r="F4" s="80"/>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row>
    <row r="5" spans="1:55" x14ac:dyDescent="0.2">
      <c r="A5" s="71" t="e">
        <f>'Récapitulatif couts recettes'!#REF!</f>
        <v>#REF!</v>
      </c>
      <c r="B5" s="71" t="e">
        <f>'Récapitulatif couts recettes'!#REF!</f>
        <v>#REF!</v>
      </c>
      <c r="C5" s="2"/>
      <c r="D5" s="2">
        <v>13</v>
      </c>
      <c r="E5" s="80">
        <v>11</v>
      </c>
      <c r="F5" s="80"/>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row>
    <row r="6" spans="1:55" x14ac:dyDescent="0.2">
      <c r="A6" s="71" t="e">
        <f>'Récapitulatif couts recettes'!#REF!</f>
        <v>#REF!</v>
      </c>
      <c r="B6" s="71" t="e">
        <f>'Récapitulatif couts recettes'!#REF!</f>
        <v>#REF!</v>
      </c>
      <c r="C6" s="2"/>
      <c r="D6" s="2">
        <v>30</v>
      </c>
      <c r="E6" s="80">
        <v>27</v>
      </c>
      <c r="F6" s="80"/>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row>
    <row r="7" spans="1:55" x14ac:dyDescent="0.2">
      <c r="A7" s="71" t="e">
        <f>'Récapitulatif couts recettes'!#REF!</f>
        <v>#REF!</v>
      </c>
      <c r="B7" s="71" t="e">
        <f>'Récapitulatif couts recettes'!#REF!</f>
        <v>#REF!</v>
      </c>
      <c r="C7" s="2"/>
      <c r="D7" s="2">
        <v>12</v>
      </c>
      <c r="E7" s="80">
        <v>10</v>
      </c>
      <c r="F7" s="80"/>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row>
    <row r="8" spans="1:55" x14ac:dyDescent="0.2">
      <c r="A8" s="71" t="e">
        <f>'Récapitulatif couts recettes'!#REF!</f>
        <v>#REF!</v>
      </c>
      <c r="B8" s="71" t="e">
        <f>'Récapitulatif couts recettes'!#REF!</f>
        <v>#REF!</v>
      </c>
      <c r="C8" s="2"/>
      <c r="D8" s="2">
        <v>6</v>
      </c>
      <c r="E8" s="80">
        <v>5</v>
      </c>
      <c r="F8" s="80"/>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row>
    <row r="9" spans="1:55" x14ac:dyDescent="0.2">
      <c r="A9" s="71" t="e">
        <f>'Récapitulatif couts recettes'!#REF!</f>
        <v>#REF!</v>
      </c>
      <c r="B9" s="71" t="e">
        <f>'Récapitulatif couts recettes'!#REF!</f>
        <v>#REF!</v>
      </c>
      <c r="C9" s="2"/>
      <c r="D9" s="2">
        <v>22</v>
      </c>
      <c r="E9" s="80">
        <v>19</v>
      </c>
      <c r="F9" s="80"/>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row>
    <row r="10" spans="1:55" x14ac:dyDescent="0.2">
      <c r="A10" s="71" t="e">
        <f>'Récapitulatif couts recettes'!#REF!</f>
        <v>#REF!</v>
      </c>
      <c r="B10" s="71" t="e">
        <f>'Récapitulatif couts recettes'!#REF!</f>
        <v>#REF!</v>
      </c>
      <c r="C10" s="2"/>
      <c r="D10" s="2">
        <v>3</v>
      </c>
      <c r="E10" s="80">
        <v>2</v>
      </c>
      <c r="F10" s="80"/>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row>
    <row r="11" spans="1:55" x14ac:dyDescent="0.2">
      <c r="A11" s="71" t="e">
        <f>'Récapitulatif couts recettes'!#REF!</f>
        <v>#REF!</v>
      </c>
      <c r="B11" s="71" t="e">
        <f>'Récapitulatif couts recettes'!#REF!</f>
        <v>#REF!</v>
      </c>
      <c r="C11" s="2"/>
      <c r="D11" s="2">
        <v>2</v>
      </c>
      <c r="E11" s="80">
        <v>1</v>
      </c>
      <c r="F11" s="80"/>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row>
    <row r="12" spans="1:55" x14ac:dyDescent="0.2">
      <c r="A12" s="71" t="e">
        <f>'Récapitulatif couts recettes'!#REF!</f>
        <v>#REF!</v>
      </c>
      <c r="B12" s="71" t="e">
        <f>'Récapitulatif couts recettes'!#REF!</f>
        <v>#REF!</v>
      </c>
      <c r="C12" s="2"/>
      <c r="D12" s="2">
        <v>2</v>
      </c>
      <c r="E12" s="80">
        <v>1</v>
      </c>
      <c r="F12" s="80"/>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row>
    <row r="13" spans="1:55" x14ac:dyDescent="0.2">
      <c r="A13" s="71" t="e">
        <f>'Récapitulatif couts recettes'!#REF!</f>
        <v>#REF!</v>
      </c>
      <c r="B13" s="71" t="e">
        <f>'Récapitulatif couts recettes'!#REF!</f>
        <v>#REF!</v>
      </c>
      <c r="C13" s="2"/>
      <c r="D13" s="2">
        <v>3</v>
      </c>
      <c r="E13" s="80">
        <v>2</v>
      </c>
      <c r="F13" s="80"/>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row>
    <row r="14" spans="1:55" x14ac:dyDescent="0.2">
      <c r="A14" s="71" t="e">
        <f>'Récapitulatif couts recettes'!#REF!</f>
        <v>#REF!</v>
      </c>
      <c r="B14" s="71" t="e">
        <f>'Récapitulatif couts recettes'!#REF!</f>
        <v>#REF!</v>
      </c>
      <c r="C14" s="2"/>
      <c r="D14" s="2">
        <v>13</v>
      </c>
      <c r="E14" s="80">
        <v>11</v>
      </c>
      <c r="F14" s="80"/>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row>
    <row r="15" spans="1:55" x14ac:dyDescent="0.2">
      <c r="A15" s="71" t="e">
        <f>'Récapitulatif couts recettes'!#REF!</f>
        <v>#REF!</v>
      </c>
      <c r="B15" s="71" t="e">
        <f>'Récapitulatif couts recettes'!#REF!</f>
        <v>#REF!</v>
      </c>
      <c r="C15" s="2"/>
      <c r="D15" s="2">
        <v>5</v>
      </c>
      <c r="E15" s="80">
        <v>4</v>
      </c>
      <c r="F15" s="80"/>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row>
    <row r="16" spans="1:55" x14ac:dyDescent="0.2">
      <c r="A16" s="71" t="e">
        <f>'Récapitulatif couts recettes'!#REF!</f>
        <v>#REF!</v>
      </c>
      <c r="B16" s="71" t="e">
        <f>'Récapitulatif couts recettes'!#REF!</f>
        <v>#REF!</v>
      </c>
      <c r="C16" s="2"/>
      <c r="D16" s="2">
        <v>13</v>
      </c>
      <c r="E16" s="80">
        <v>11</v>
      </c>
      <c r="F16" s="80"/>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row>
    <row r="17" spans="1:55" x14ac:dyDescent="0.2">
      <c r="A17" s="71" t="e">
        <f>'Récapitulatif couts recettes'!#REF!</f>
        <v>#REF!</v>
      </c>
      <c r="B17" s="71" t="e">
        <f>'Récapitulatif couts recettes'!#REF!</f>
        <v>#REF!</v>
      </c>
      <c r="C17" s="2"/>
      <c r="D17" s="2">
        <v>6</v>
      </c>
      <c r="E17" s="80">
        <v>5</v>
      </c>
      <c r="F17" s="80"/>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row>
    <row r="18" spans="1:55" x14ac:dyDescent="0.2">
      <c r="A18" s="71" t="e">
        <f>'Récapitulatif couts recettes'!#REF!</f>
        <v>#REF!</v>
      </c>
      <c r="B18" s="71" t="e">
        <f>'Récapitulatif couts recettes'!#REF!</f>
        <v>#REF!</v>
      </c>
      <c r="C18" s="2"/>
      <c r="D18" s="2">
        <v>8</v>
      </c>
      <c r="E18" s="80">
        <v>7</v>
      </c>
      <c r="F18" s="80"/>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row>
    <row r="19" spans="1:55" x14ac:dyDescent="0.2">
      <c r="A19" s="71" t="e">
        <f>'Récapitulatif couts recettes'!#REF!</f>
        <v>#REF!</v>
      </c>
      <c r="B19" s="71" t="e">
        <f>'Récapitulatif couts recettes'!#REF!</f>
        <v>#REF!</v>
      </c>
      <c r="C19" s="2"/>
      <c r="D19" s="2">
        <v>13</v>
      </c>
      <c r="E19" s="80">
        <v>11</v>
      </c>
      <c r="F19" s="80"/>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row>
    <row r="20" spans="1:55" x14ac:dyDescent="0.2">
      <c r="A20" s="71" t="e">
        <f>'Récapitulatif couts recettes'!#REF!</f>
        <v>#REF!</v>
      </c>
      <c r="B20" s="71" t="e">
        <f>'Récapitulatif couts recettes'!#REF!</f>
        <v>#REF!</v>
      </c>
      <c r="C20" s="2"/>
      <c r="D20" s="2">
        <v>3</v>
      </c>
      <c r="E20" s="80">
        <v>2</v>
      </c>
      <c r="F20" s="80"/>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row>
    <row r="21" spans="1:55" x14ac:dyDescent="0.2">
      <c r="A21" s="71" t="e">
        <f>'Récapitulatif couts recettes'!#REF!</f>
        <v>#REF!</v>
      </c>
      <c r="B21" s="71" t="e">
        <f>'Récapitulatif couts recettes'!#REF!</f>
        <v>#REF!</v>
      </c>
      <c r="C21" s="2"/>
      <c r="D21" s="2">
        <v>8</v>
      </c>
      <c r="E21" s="80">
        <v>7</v>
      </c>
      <c r="F21" s="80"/>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row>
    <row r="22" spans="1:55" x14ac:dyDescent="0.2">
      <c r="A22" s="71" t="e">
        <f>'Récapitulatif couts recettes'!#REF!</f>
        <v>#REF!</v>
      </c>
      <c r="B22" s="71" t="e">
        <f>'Récapitulatif couts recettes'!#REF!</f>
        <v>#REF!</v>
      </c>
      <c r="C22" s="2"/>
      <c r="D22" s="2">
        <v>11</v>
      </c>
      <c r="E22" s="80">
        <v>9</v>
      </c>
      <c r="F22" s="80"/>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row>
    <row r="23" spans="1:55" x14ac:dyDescent="0.2">
      <c r="A23" s="71" t="e">
        <f>'Récapitulatif couts recettes'!#REF!</f>
        <v>#REF!</v>
      </c>
      <c r="B23" s="71" t="e">
        <f>'Récapitulatif couts recettes'!#REF!</f>
        <v>#REF!</v>
      </c>
      <c r="C23" s="2"/>
      <c r="D23" s="2">
        <v>7</v>
      </c>
      <c r="E23" s="80">
        <v>6</v>
      </c>
      <c r="F23" s="80"/>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row>
    <row r="24" spans="1:55" x14ac:dyDescent="0.2">
      <c r="A24" s="71" t="e">
        <f>'Récapitulatif couts recettes'!#REF!</f>
        <v>#REF!</v>
      </c>
      <c r="B24" s="71" t="e">
        <f>'Récapitulatif couts recettes'!#REF!</f>
        <v>#REF!</v>
      </c>
      <c r="C24" s="2"/>
      <c r="D24" s="2">
        <v>14</v>
      </c>
      <c r="E24" s="80">
        <v>12</v>
      </c>
      <c r="F24" s="80"/>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row>
    <row r="25" spans="1:55" x14ac:dyDescent="0.2">
      <c r="A25" s="71" t="e">
        <f>'Récapitulatif couts recettes'!#REF!</f>
        <v>#REF!</v>
      </c>
      <c r="B25" s="71" t="e">
        <f>'Récapitulatif couts recettes'!#REF!</f>
        <v>#REF!</v>
      </c>
      <c r="C25" s="2"/>
      <c r="D25" s="2">
        <v>6</v>
      </c>
      <c r="E25" s="80">
        <v>5</v>
      </c>
      <c r="F25" s="80"/>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row>
    <row r="26" spans="1:55" x14ac:dyDescent="0.2">
      <c r="A26" s="71" t="e">
        <f>'Récapitulatif couts recettes'!#REF!</f>
        <v>#REF!</v>
      </c>
      <c r="B26" s="71" t="e">
        <f>'Récapitulatif couts recettes'!#REF!</f>
        <v>#REF!</v>
      </c>
      <c r="C26" s="2"/>
      <c r="D26" s="2">
        <v>8</v>
      </c>
      <c r="E26" s="80">
        <v>7</v>
      </c>
      <c r="F26" s="80"/>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row>
    <row r="27" spans="1:55" x14ac:dyDescent="0.2">
      <c r="A27" s="71" t="e">
        <f>'Récapitulatif couts recettes'!#REF!</f>
        <v>#REF!</v>
      </c>
      <c r="B27" s="71" t="e">
        <f>'Récapitulatif couts recettes'!#REF!</f>
        <v>#REF!</v>
      </c>
      <c r="C27" s="2"/>
      <c r="D27" s="2">
        <v>14</v>
      </c>
      <c r="E27" s="80">
        <v>12</v>
      </c>
      <c r="F27" s="80"/>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row>
    <row r="28" spans="1:55" x14ac:dyDescent="0.2">
      <c r="A28" s="71" t="e">
        <f>'Récapitulatif couts recettes'!#REF!</f>
        <v>#REF!</v>
      </c>
      <c r="B28" s="71" t="e">
        <f>'Récapitulatif couts recettes'!#REF!</f>
        <v>#REF!</v>
      </c>
      <c r="C28" s="2"/>
      <c r="D28" s="2">
        <v>3</v>
      </c>
      <c r="E28" s="80">
        <v>2</v>
      </c>
      <c r="F28" s="80"/>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row>
    <row r="29" spans="1:55" x14ac:dyDescent="0.2">
      <c r="A29" s="71" t="e">
        <f>'Récapitulatif couts recettes'!#REF!</f>
        <v>#REF!</v>
      </c>
      <c r="B29" s="71" t="e">
        <f>'Récapitulatif couts recettes'!#REF!</f>
        <v>#REF!</v>
      </c>
      <c r="C29" s="2"/>
      <c r="D29" s="2">
        <v>1</v>
      </c>
      <c r="E29" s="80">
        <v>0</v>
      </c>
      <c r="F29" s="80"/>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row>
    <row r="30" spans="1:55" x14ac:dyDescent="0.2">
      <c r="A30" s="71" t="e">
        <f>'Récapitulatif couts recettes'!#REF!</f>
        <v>#REF!</v>
      </c>
      <c r="B30" s="71" t="e">
        <f>'Récapitulatif couts recettes'!#REF!</f>
        <v>#REF!</v>
      </c>
      <c r="C30" s="2"/>
      <c r="D30" s="2">
        <v>17</v>
      </c>
      <c r="E30" s="80">
        <v>15</v>
      </c>
      <c r="F30" s="80"/>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row>
    <row r="31" spans="1:55" x14ac:dyDescent="0.2">
      <c r="A31" s="71" t="e">
        <f>'Récapitulatif couts recettes'!#REF!</f>
        <v>#REF!</v>
      </c>
      <c r="B31" s="71" t="e">
        <f>'Récapitulatif couts recettes'!#REF!</f>
        <v>#REF!</v>
      </c>
      <c r="C31" s="2"/>
      <c r="D31" s="2">
        <v>11</v>
      </c>
      <c r="E31" s="80">
        <v>9</v>
      </c>
      <c r="F31" s="80"/>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row>
    <row r="32" spans="1:55" x14ac:dyDescent="0.2">
      <c r="A32" s="71" t="e">
        <f>'Récapitulatif couts recettes'!#REF!</f>
        <v>#REF!</v>
      </c>
      <c r="B32" s="71" t="e">
        <f>'Récapitulatif couts recettes'!#REF!</f>
        <v>#REF!</v>
      </c>
      <c r="C32" s="2"/>
      <c r="D32" s="2">
        <v>6</v>
      </c>
      <c r="E32" s="80">
        <v>5</v>
      </c>
      <c r="F32" s="80"/>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row>
    <row r="33" spans="1:55" x14ac:dyDescent="0.2">
      <c r="A33" s="71" t="e">
        <f>'Récapitulatif couts recettes'!#REF!</f>
        <v>#REF!</v>
      </c>
      <c r="B33" s="71" t="e">
        <f>'Récapitulatif couts recettes'!#REF!</f>
        <v>#REF!</v>
      </c>
      <c r="C33" s="2"/>
      <c r="D33" s="2">
        <v>8</v>
      </c>
      <c r="E33" s="80">
        <v>7</v>
      </c>
      <c r="F33" s="80"/>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row>
    <row r="34" spans="1:55" x14ac:dyDescent="0.2">
      <c r="A34" s="71" t="e">
        <f>'Récapitulatif couts recettes'!#REF!</f>
        <v>#REF!</v>
      </c>
      <c r="B34" s="71" t="e">
        <f>'Récapitulatif couts recettes'!#REF!</f>
        <v>#REF!</v>
      </c>
      <c r="C34" s="2"/>
      <c r="D34" s="2">
        <v>6</v>
      </c>
      <c r="E34" s="80">
        <v>5</v>
      </c>
      <c r="F34" s="80"/>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row>
    <row r="35" spans="1:55" x14ac:dyDescent="0.2">
      <c r="A35" s="71" t="e">
        <f>'Récapitulatif couts recettes'!#REF!</f>
        <v>#REF!</v>
      </c>
      <c r="B35" s="71" t="e">
        <f>'Récapitulatif couts recettes'!#REF!</f>
        <v>#REF!</v>
      </c>
      <c r="C35" s="2"/>
      <c r="D35" s="2">
        <v>6</v>
      </c>
      <c r="E35" s="80">
        <v>5</v>
      </c>
      <c r="F35" s="80"/>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row>
    <row r="36" spans="1:55" x14ac:dyDescent="0.2">
      <c r="A36" s="71" t="e">
        <f>'Récapitulatif couts recettes'!#REF!</f>
        <v>#REF!</v>
      </c>
      <c r="B36" s="71" t="e">
        <f>'Récapitulatif couts recettes'!#REF!</f>
        <v>#REF!</v>
      </c>
      <c r="C36" s="2"/>
      <c r="D36" s="2">
        <v>5</v>
      </c>
      <c r="E36" s="80">
        <v>4</v>
      </c>
      <c r="F36" s="80"/>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row>
    <row r="37" spans="1:55" x14ac:dyDescent="0.2">
      <c r="A37" s="71" t="e">
        <f>'Récapitulatif couts recettes'!#REF!</f>
        <v>#REF!</v>
      </c>
      <c r="B37" s="71" t="e">
        <f>'Récapitulatif couts recettes'!#REF!</f>
        <v>#REF!</v>
      </c>
      <c r="C37" s="2"/>
      <c r="D37" s="2">
        <v>5</v>
      </c>
      <c r="E37" s="80">
        <v>4</v>
      </c>
      <c r="F37" s="80"/>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row>
    <row r="38" spans="1:55" x14ac:dyDescent="0.2">
      <c r="A38" s="71" t="e">
        <f>'Récapitulatif couts recettes'!#REF!</f>
        <v>#REF!</v>
      </c>
      <c r="B38" s="71" t="e">
        <f>'Récapitulatif couts recettes'!#REF!</f>
        <v>#REF!</v>
      </c>
      <c r="C38" s="2"/>
      <c r="D38" s="2">
        <v>4</v>
      </c>
      <c r="E38" s="80">
        <v>3</v>
      </c>
      <c r="F38" s="80"/>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row>
    <row r="39" spans="1:55" x14ac:dyDescent="0.2">
      <c r="A39" s="70" t="e">
        <f>'Récapitulatif couts recettes'!#REF!</f>
        <v>#REF!</v>
      </c>
      <c r="B39" s="70" t="e">
        <f>'Récapitulatif couts recettes'!#REF!</f>
        <v>#REF!</v>
      </c>
    </row>
    <row r="40" spans="1:55" x14ac:dyDescent="0.2">
      <c r="A40" s="70" t="e">
        <f>'Récapitulatif couts recettes'!#REF!</f>
        <v>#REF!</v>
      </c>
      <c r="B40" s="70" t="e">
        <f>'Récapitulatif couts recettes'!#REF!</f>
        <v>#REF!</v>
      </c>
    </row>
    <row r="41" spans="1:55" x14ac:dyDescent="0.2">
      <c r="A41" s="70" t="e">
        <f>'Récapitulatif couts recettes'!#REF!</f>
        <v>#REF!</v>
      </c>
      <c r="B41" s="70" t="e">
        <f>'Récapitulatif couts recettes'!#REF!</f>
        <v>#REF!</v>
      </c>
    </row>
    <row r="42" spans="1:55" x14ac:dyDescent="0.2">
      <c r="A42" s="70" t="e">
        <f>'Récapitulatif couts recettes'!#REF!</f>
        <v>#REF!</v>
      </c>
      <c r="B42" s="70" t="e">
        <f>'Récapitulatif couts recettes'!#REF!</f>
        <v>#REF!</v>
      </c>
    </row>
    <row r="43" spans="1:55" x14ac:dyDescent="0.2">
      <c r="A43" s="70" t="e">
        <f>'Récapitulatif couts recettes'!#REF!</f>
        <v>#REF!</v>
      </c>
      <c r="B43" s="70" t="e">
        <f>'Récapitulatif couts recettes'!#REF!</f>
        <v>#REF!</v>
      </c>
    </row>
    <row r="44" spans="1:55" x14ac:dyDescent="0.2">
      <c r="A44" s="70" t="e">
        <f>'Récapitulatif couts recettes'!#REF!</f>
        <v>#REF!</v>
      </c>
      <c r="B44" s="70" t="e">
        <f>'Récapitulatif couts recettes'!#REF!</f>
        <v>#REF!</v>
      </c>
    </row>
    <row r="45" spans="1:55" x14ac:dyDescent="0.2">
      <c r="A45" s="70" t="e">
        <f>'Récapitulatif couts recettes'!#REF!</f>
        <v>#REF!</v>
      </c>
      <c r="B45" s="70" t="e">
        <f>'Récapitulatif couts recettes'!#REF!</f>
        <v>#REF!</v>
      </c>
    </row>
    <row r="46" spans="1:55" x14ac:dyDescent="0.2">
      <c r="A46" s="70" t="e">
        <f>'Récapitulatif couts recettes'!#REF!</f>
        <v>#REF!</v>
      </c>
      <c r="B46" s="70" t="e">
        <f>'Récapitulatif couts recettes'!#REF!</f>
        <v>#REF!</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0B9BC-757E-1947-9C3F-BF550BB0D648}">
  <sheetPr codeName="Feuil9"/>
  <dimension ref="A1:F307"/>
  <sheetViews>
    <sheetView workbookViewId="0">
      <selection activeCell="E53" sqref="E53"/>
    </sheetView>
  </sheetViews>
  <sheetFormatPr baseColWidth="10" defaultRowHeight="16" x14ac:dyDescent="0.2"/>
  <cols>
    <col min="1" max="1" width="66.5" bestFit="1" customWidth="1"/>
    <col min="2" max="2" width="10" customWidth="1"/>
    <col min="3" max="3" width="29.33203125" style="11" bestFit="1" customWidth="1"/>
    <col min="4" max="4" width="11.83203125" style="11" bestFit="1" customWidth="1"/>
    <col min="5" max="5" width="9.5" bestFit="1" customWidth="1"/>
  </cols>
  <sheetData>
    <row r="1" spans="1:6" x14ac:dyDescent="0.2">
      <c r="A1" s="82" t="s">
        <v>287</v>
      </c>
      <c r="B1" s="82">
        <v>30</v>
      </c>
      <c r="C1"/>
      <c r="D1"/>
    </row>
    <row r="2" spans="1:6" x14ac:dyDescent="0.2">
      <c r="C2"/>
      <c r="D2"/>
    </row>
    <row r="3" spans="1:6" x14ac:dyDescent="0.2">
      <c r="C3"/>
      <c r="D3"/>
    </row>
    <row r="4" spans="1:6" ht="17" x14ac:dyDescent="0.2">
      <c r="A4" s="4" t="s">
        <v>282</v>
      </c>
      <c r="B4" s="72"/>
      <c r="C4" s="11" t="s">
        <v>283</v>
      </c>
      <c r="D4" s="11" t="s">
        <v>284</v>
      </c>
      <c r="E4" t="s">
        <v>285</v>
      </c>
      <c r="F4" t="s">
        <v>286</v>
      </c>
    </row>
    <row r="5" spans="1:6" x14ac:dyDescent="0.2">
      <c r="A5" t="s">
        <v>16</v>
      </c>
    </row>
    <row r="6" spans="1:6" x14ac:dyDescent="0.2">
      <c r="A6" t="s">
        <v>93</v>
      </c>
    </row>
    <row r="7" spans="1:6" x14ac:dyDescent="0.2">
      <c r="A7" t="s">
        <v>45</v>
      </c>
    </row>
    <row r="8" spans="1:6" x14ac:dyDescent="0.2">
      <c r="A8" t="s">
        <v>23</v>
      </c>
    </row>
    <row r="9" spans="1:6" x14ac:dyDescent="0.2">
      <c r="A9" t="s">
        <v>47</v>
      </c>
    </row>
    <row r="10" spans="1:6" x14ac:dyDescent="0.2">
      <c r="A10" t="s">
        <v>15</v>
      </c>
    </row>
    <row r="11" spans="1:6" x14ac:dyDescent="0.2">
      <c r="A11" t="s">
        <v>43</v>
      </c>
    </row>
    <row r="12" spans="1:6" x14ac:dyDescent="0.2">
      <c r="A12" t="s">
        <v>70</v>
      </c>
    </row>
    <row r="13" spans="1:6" x14ac:dyDescent="0.2">
      <c r="A13" t="s">
        <v>44</v>
      </c>
    </row>
    <row r="14" spans="1:6" x14ac:dyDescent="0.2">
      <c r="A14" t="s">
        <v>18</v>
      </c>
    </row>
    <row r="15" spans="1:6" x14ac:dyDescent="0.2">
      <c r="A15" t="s">
        <v>57</v>
      </c>
    </row>
    <row r="16" spans="1:6" x14ac:dyDescent="0.2">
      <c r="A16" t="s">
        <v>119</v>
      </c>
    </row>
    <row r="17" spans="1:1" x14ac:dyDescent="0.2">
      <c r="A17" t="s">
        <v>127</v>
      </c>
    </row>
    <row r="18" spans="1:1" x14ac:dyDescent="0.2">
      <c r="A18" t="s">
        <v>54</v>
      </c>
    </row>
    <row r="19" spans="1:1" x14ac:dyDescent="0.2">
      <c r="A19" t="s">
        <v>55</v>
      </c>
    </row>
    <row r="20" spans="1:1" x14ac:dyDescent="0.2">
      <c r="A20" t="s">
        <v>69</v>
      </c>
    </row>
    <row r="21" spans="1:1" x14ac:dyDescent="0.2">
      <c r="A21" t="s">
        <v>102</v>
      </c>
    </row>
    <row r="22" spans="1:1" x14ac:dyDescent="0.2">
      <c r="A22" t="s">
        <v>117</v>
      </c>
    </row>
    <row r="23" spans="1:1" x14ac:dyDescent="0.2">
      <c r="A23" t="s">
        <v>106</v>
      </c>
    </row>
    <row r="24" spans="1:1" x14ac:dyDescent="0.2">
      <c r="A24" t="s">
        <v>105</v>
      </c>
    </row>
    <row r="25" spans="1:1" x14ac:dyDescent="0.2">
      <c r="A25" t="s">
        <v>17</v>
      </c>
    </row>
    <row r="26" spans="1:1" x14ac:dyDescent="0.2">
      <c r="A26" t="s">
        <v>66</v>
      </c>
    </row>
    <row r="27" spans="1:1" x14ac:dyDescent="0.2">
      <c r="A27" t="s">
        <v>21</v>
      </c>
    </row>
    <row r="28" spans="1:1" x14ac:dyDescent="0.2">
      <c r="A28" t="s">
        <v>13</v>
      </c>
    </row>
    <row r="29" spans="1:1" x14ac:dyDescent="0.2">
      <c r="A29" t="s">
        <v>12</v>
      </c>
    </row>
    <row r="30" spans="1:1" x14ac:dyDescent="0.2">
      <c r="A30" t="s">
        <v>52</v>
      </c>
    </row>
    <row r="31" spans="1:1" x14ac:dyDescent="0.2">
      <c r="A31" t="s">
        <v>22</v>
      </c>
    </row>
    <row r="32" spans="1:1" x14ac:dyDescent="0.2">
      <c r="A32" t="s">
        <v>68</v>
      </c>
    </row>
    <row r="33" spans="1:1" x14ac:dyDescent="0.2">
      <c r="A33" t="s">
        <v>11</v>
      </c>
    </row>
    <row r="34" spans="1:1" x14ac:dyDescent="0.2">
      <c r="A34" t="s">
        <v>26</v>
      </c>
    </row>
    <row r="35" spans="1:1" x14ac:dyDescent="0.2">
      <c r="A35" t="s">
        <v>27</v>
      </c>
    </row>
    <row r="36" spans="1:1" x14ac:dyDescent="0.2">
      <c r="A36" t="s">
        <v>103</v>
      </c>
    </row>
    <row r="37" spans="1:1" x14ac:dyDescent="0.2">
      <c r="A37" t="s">
        <v>32</v>
      </c>
    </row>
    <row r="38" spans="1:1" x14ac:dyDescent="0.2">
      <c r="A38" t="s">
        <v>67</v>
      </c>
    </row>
    <row r="39" spans="1:1" x14ac:dyDescent="0.2">
      <c r="A39" t="s">
        <v>41</v>
      </c>
    </row>
    <row r="40" spans="1:1" x14ac:dyDescent="0.2">
      <c r="A40" t="s">
        <v>40</v>
      </c>
    </row>
    <row r="41" spans="1:1" x14ac:dyDescent="0.2">
      <c r="A41" t="s">
        <v>39</v>
      </c>
    </row>
    <row r="42" spans="1:1" x14ac:dyDescent="0.2">
      <c r="A42" t="s">
        <v>8</v>
      </c>
    </row>
    <row r="43" spans="1:1" x14ac:dyDescent="0.2">
      <c r="A43" t="s">
        <v>20</v>
      </c>
    </row>
    <row r="44" spans="1:1" x14ac:dyDescent="0.2">
      <c r="A44" t="s">
        <v>24</v>
      </c>
    </row>
    <row r="45" spans="1:1" x14ac:dyDescent="0.2">
      <c r="A45" t="s">
        <v>30</v>
      </c>
    </row>
    <row r="46" spans="1:1" x14ac:dyDescent="0.2">
      <c r="A46" t="s">
        <v>31</v>
      </c>
    </row>
    <row r="47" spans="1:1" x14ac:dyDescent="0.2">
      <c r="A47" t="s">
        <v>9</v>
      </c>
    </row>
    <row r="48" spans="1:1" x14ac:dyDescent="0.2">
      <c r="A48" t="s">
        <v>33</v>
      </c>
    </row>
    <row r="49" spans="1:1" x14ac:dyDescent="0.2">
      <c r="A49" t="s">
        <v>111</v>
      </c>
    </row>
    <row r="50" spans="1:1" x14ac:dyDescent="0.2">
      <c r="A50" t="s">
        <v>112</v>
      </c>
    </row>
    <row r="51" spans="1:1" x14ac:dyDescent="0.2">
      <c r="A51" t="s">
        <v>49</v>
      </c>
    </row>
    <row r="52" spans="1:1" x14ac:dyDescent="0.2">
      <c r="A52" t="s">
        <v>50</v>
      </c>
    </row>
    <row r="53" spans="1:1" x14ac:dyDescent="0.2">
      <c r="A53" t="s">
        <v>25</v>
      </c>
    </row>
    <row r="54" spans="1:1" x14ac:dyDescent="0.2">
      <c r="A54" t="s">
        <v>51</v>
      </c>
    </row>
    <row r="55" spans="1:1" x14ac:dyDescent="0.2">
      <c r="A55" t="s">
        <v>97</v>
      </c>
    </row>
    <row r="56" spans="1:1" x14ac:dyDescent="0.2">
      <c r="A56" t="s">
        <v>28</v>
      </c>
    </row>
    <row r="57" spans="1:1" x14ac:dyDescent="0.2">
      <c r="A57" t="s">
        <v>58</v>
      </c>
    </row>
    <row r="58" spans="1:1" x14ac:dyDescent="0.2">
      <c r="A58" t="s">
        <v>166</v>
      </c>
    </row>
    <row r="59" spans="1:1" x14ac:dyDescent="0.2">
      <c r="A59" t="s">
        <v>80</v>
      </c>
    </row>
    <row r="60" spans="1:1" x14ac:dyDescent="0.2">
      <c r="A60" t="s">
        <v>29</v>
      </c>
    </row>
    <row r="61" spans="1:1" x14ac:dyDescent="0.2">
      <c r="A61" t="s">
        <v>10</v>
      </c>
    </row>
    <row r="62" spans="1:1" x14ac:dyDescent="0.2">
      <c r="A62" t="s">
        <v>53</v>
      </c>
    </row>
    <row r="63" spans="1:1" x14ac:dyDescent="0.2">
      <c r="A63" t="s">
        <v>42</v>
      </c>
    </row>
    <row r="64" spans="1:1" x14ac:dyDescent="0.2">
      <c r="A64" t="s">
        <v>117</v>
      </c>
    </row>
    <row r="65" spans="1:1" x14ac:dyDescent="0.2">
      <c r="A65" t="s">
        <v>65</v>
      </c>
    </row>
    <row r="66" spans="1:1" x14ac:dyDescent="0.2">
      <c r="A66" t="s">
        <v>75</v>
      </c>
    </row>
    <row r="67" spans="1:1" x14ac:dyDescent="0.2">
      <c r="A67" t="s">
        <v>74</v>
      </c>
    </row>
    <row r="68" spans="1:1" x14ac:dyDescent="0.2">
      <c r="A68" t="s">
        <v>76</v>
      </c>
    </row>
    <row r="69" spans="1:1" x14ac:dyDescent="0.2">
      <c r="A69" t="s">
        <v>77</v>
      </c>
    </row>
    <row r="70" spans="1:1" x14ac:dyDescent="0.2">
      <c r="A70" t="s">
        <v>73</v>
      </c>
    </row>
    <row r="71" spans="1:1" x14ac:dyDescent="0.2">
      <c r="A71" t="s">
        <v>19</v>
      </c>
    </row>
    <row r="72" spans="1:1" x14ac:dyDescent="0.2">
      <c r="A72" t="s">
        <v>101</v>
      </c>
    </row>
    <row r="73" spans="1:1" x14ac:dyDescent="0.2">
      <c r="A73" t="s">
        <v>46</v>
      </c>
    </row>
    <row r="74" spans="1:1" x14ac:dyDescent="0.2">
      <c r="A74" t="s">
        <v>48</v>
      </c>
    </row>
    <row r="75" spans="1:1" x14ac:dyDescent="0.2">
      <c r="A75" t="s">
        <v>34</v>
      </c>
    </row>
    <row r="76" spans="1:1" x14ac:dyDescent="0.2">
      <c r="A76" t="s">
        <v>36</v>
      </c>
    </row>
    <row r="77" spans="1:1" x14ac:dyDescent="0.2">
      <c r="A77" t="s">
        <v>35</v>
      </c>
    </row>
    <row r="78" spans="1:1" x14ac:dyDescent="0.2">
      <c r="A78" t="s">
        <v>37</v>
      </c>
    </row>
    <row r="79" spans="1:1" x14ac:dyDescent="0.2">
      <c r="A79" t="s">
        <v>38</v>
      </c>
    </row>
    <row r="80" spans="1:1" x14ac:dyDescent="0.2">
      <c r="A80">
        <v>0</v>
      </c>
    </row>
    <row r="81" spans="1:1" x14ac:dyDescent="0.2">
      <c r="A81">
        <v>0</v>
      </c>
    </row>
    <row r="82" spans="1:1" x14ac:dyDescent="0.2">
      <c r="A82" t="s">
        <v>88</v>
      </c>
    </row>
    <row r="83" spans="1:1" x14ac:dyDescent="0.2">
      <c r="A83" t="s">
        <v>89</v>
      </c>
    </row>
    <row r="84" spans="1:1" x14ac:dyDescent="0.2">
      <c r="A84">
        <v>0</v>
      </c>
    </row>
    <row r="85" spans="1:1" x14ac:dyDescent="0.2">
      <c r="A85">
        <v>0</v>
      </c>
    </row>
    <row r="86" spans="1:1" x14ac:dyDescent="0.2">
      <c r="A86">
        <v>0</v>
      </c>
    </row>
    <row r="87" spans="1:1" x14ac:dyDescent="0.2">
      <c r="A87" t="s">
        <v>96</v>
      </c>
    </row>
    <row r="88" spans="1:1" x14ac:dyDescent="0.2">
      <c r="A88" t="s">
        <v>98</v>
      </c>
    </row>
    <row r="89" spans="1:1" x14ac:dyDescent="0.2">
      <c r="A89" t="s">
        <v>100</v>
      </c>
    </row>
    <row r="90" spans="1:1" x14ac:dyDescent="0.2">
      <c r="A90" t="s">
        <v>104</v>
      </c>
    </row>
    <row r="91" spans="1:1" x14ac:dyDescent="0.2">
      <c r="A91" t="s">
        <v>109</v>
      </c>
    </row>
    <row r="92" spans="1:1" x14ac:dyDescent="0.2">
      <c r="A92" t="s">
        <v>110</v>
      </c>
    </row>
    <row r="93" spans="1:1" x14ac:dyDescent="0.2">
      <c r="A93">
        <v>0</v>
      </c>
    </row>
    <row r="94" spans="1:1" x14ac:dyDescent="0.2">
      <c r="A94" t="s">
        <v>162</v>
      </c>
    </row>
    <row r="95" spans="1:1" x14ac:dyDescent="0.2">
      <c r="A95" t="s">
        <v>163</v>
      </c>
    </row>
    <row r="96" spans="1:1" x14ac:dyDescent="0.2">
      <c r="A96" t="s">
        <v>164</v>
      </c>
    </row>
    <row r="97" spans="1:1" x14ac:dyDescent="0.2">
      <c r="A97" t="s">
        <v>165</v>
      </c>
    </row>
    <row r="98" spans="1:1" x14ac:dyDescent="0.2">
      <c r="A98" t="s">
        <v>167</v>
      </c>
    </row>
    <row r="99" spans="1:1" x14ac:dyDescent="0.2">
      <c r="A99" t="s">
        <v>168</v>
      </c>
    </row>
    <row r="100" spans="1:1" x14ac:dyDescent="0.2">
      <c r="A100" t="s">
        <v>169</v>
      </c>
    </row>
    <row r="101" spans="1:1" x14ac:dyDescent="0.2">
      <c r="A101">
        <v>0</v>
      </c>
    </row>
    <row r="102" spans="1:1" x14ac:dyDescent="0.2">
      <c r="A102">
        <v>0</v>
      </c>
    </row>
    <row r="103" spans="1:1" x14ac:dyDescent="0.2">
      <c r="A103">
        <v>0</v>
      </c>
    </row>
    <row r="104" spans="1:1" x14ac:dyDescent="0.2">
      <c r="A104">
        <v>0</v>
      </c>
    </row>
    <row r="105" spans="1:1" x14ac:dyDescent="0.2">
      <c r="A105">
        <v>0</v>
      </c>
    </row>
    <row r="106" spans="1:1" x14ac:dyDescent="0.2">
      <c r="A106">
        <v>0</v>
      </c>
    </row>
    <row r="107" spans="1:1" x14ac:dyDescent="0.2">
      <c r="A107">
        <v>0</v>
      </c>
    </row>
    <row r="108" spans="1:1" x14ac:dyDescent="0.2">
      <c r="A108">
        <v>0</v>
      </c>
    </row>
    <row r="109" spans="1:1" x14ac:dyDescent="0.2">
      <c r="A109">
        <v>0</v>
      </c>
    </row>
    <row r="110" spans="1:1" x14ac:dyDescent="0.2">
      <c r="A110">
        <v>0</v>
      </c>
    </row>
    <row r="111" spans="1:1" x14ac:dyDescent="0.2">
      <c r="A111">
        <v>0</v>
      </c>
    </row>
    <row r="112" spans="1:1" x14ac:dyDescent="0.2">
      <c r="A112">
        <v>0</v>
      </c>
    </row>
    <row r="113" spans="1:1" x14ac:dyDescent="0.2">
      <c r="A113">
        <v>0</v>
      </c>
    </row>
    <row r="114" spans="1:1" x14ac:dyDescent="0.2">
      <c r="A114">
        <v>0</v>
      </c>
    </row>
    <row r="115" spans="1:1" x14ac:dyDescent="0.2">
      <c r="A115">
        <v>0</v>
      </c>
    </row>
    <row r="116" spans="1:1" x14ac:dyDescent="0.2">
      <c r="A116">
        <v>0</v>
      </c>
    </row>
    <row r="117" spans="1:1" x14ac:dyDescent="0.2">
      <c r="A117">
        <v>0</v>
      </c>
    </row>
    <row r="118" spans="1:1" x14ac:dyDescent="0.2">
      <c r="A118">
        <v>0</v>
      </c>
    </row>
    <row r="119" spans="1:1" x14ac:dyDescent="0.2">
      <c r="A119">
        <v>0</v>
      </c>
    </row>
    <row r="120" spans="1:1" x14ac:dyDescent="0.2">
      <c r="A120">
        <v>0</v>
      </c>
    </row>
    <row r="121" spans="1:1" x14ac:dyDescent="0.2">
      <c r="A121">
        <v>0</v>
      </c>
    </row>
    <row r="122" spans="1:1" x14ac:dyDescent="0.2">
      <c r="A122">
        <v>0</v>
      </c>
    </row>
    <row r="123" spans="1:1" x14ac:dyDescent="0.2">
      <c r="A123">
        <v>0</v>
      </c>
    </row>
    <row r="124" spans="1:1" x14ac:dyDescent="0.2">
      <c r="A124">
        <v>0</v>
      </c>
    </row>
    <row r="125" spans="1:1" x14ac:dyDescent="0.2">
      <c r="A125">
        <v>0</v>
      </c>
    </row>
    <row r="126" spans="1:1" x14ac:dyDescent="0.2">
      <c r="A126">
        <v>0</v>
      </c>
    </row>
    <row r="127" spans="1:1" x14ac:dyDescent="0.2">
      <c r="A127">
        <v>0</v>
      </c>
    </row>
    <row r="128" spans="1:1" x14ac:dyDescent="0.2">
      <c r="A128">
        <v>0</v>
      </c>
    </row>
    <row r="129" spans="1:1" x14ac:dyDescent="0.2">
      <c r="A129">
        <v>0</v>
      </c>
    </row>
    <row r="130" spans="1:1" x14ac:dyDescent="0.2">
      <c r="A130">
        <v>0</v>
      </c>
    </row>
    <row r="131" spans="1:1" x14ac:dyDescent="0.2">
      <c r="A131">
        <v>0</v>
      </c>
    </row>
    <row r="132" spans="1:1" x14ac:dyDescent="0.2">
      <c r="A132">
        <v>0</v>
      </c>
    </row>
    <row r="133" spans="1:1" x14ac:dyDescent="0.2">
      <c r="A133">
        <v>0</v>
      </c>
    </row>
    <row r="134" spans="1:1" x14ac:dyDescent="0.2">
      <c r="A134">
        <v>0</v>
      </c>
    </row>
    <row r="135" spans="1:1" x14ac:dyDescent="0.2">
      <c r="A135">
        <v>0</v>
      </c>
    </row>
    <row r="136" spans="1:1" x14ac:dyDescent="0.2">
      <c r="A136">
        <v>0</v>
      </c>
    </row>
    <row r="137" spans="1:1" x14ac:dyDescent="0.2">
      <c r="A137">
        <v>0</v>
      </c>
    </row>
    <row r="138" spans="1:1" x14ac:dyDescent="0.2">
      <c r="A138">
        <v>0</v>
      </c>
    </row>
    <row r="139" spans="1:1" x14ac:dyDescent="0.2">
      <c r="A139">
        <v>0</v>
      </c>
    </row>
    <row r="140" spans="1:1" x14ac:dyDescent="0.2">
      <c r="A140">
        <v>0</v>
      </c>
    </row>
    <row r="141" spans="1:1" x14ac:dyDescent="0.2">
      <c r="A141">
        <v>0</v>
      </c>
    </row>
    <row r="142" spans="1:1" x14ac:dyDescent="0.2">
      <c r="A142">
        <v>0</v>
      </c>
    </row>
    <row r="143" spans="1:1" x14ac:dyDescent="0.2">
      <c r="A143">
        <v>0</v>
      </c>
    </row>
    <row r="144" spans="1:1" x14ac:dyDescent="0.2">
      <c r="A144">
        <v>0</v>
      </c>
    </row>
    <row r="145" spans="1:1" x14ac:dyDescent="0.2">
      <c r="A145">
        <v>0</v>
      </c>
    </row>
    <row r="146" spans="1:1" x14ac:dyDescent="0.2">
      <c r="A146">
        <v>0</v>
      </c>
    </row>
    <row r="147" spans="1:1" x14ac:dyDescent="0.2">
      <c r="A147">
        <v>0</v>
      </c>
    </row>
    <row r="148" spans="1:1" x14ac:dyDescent="0.2">
      <c r="A148">
        <v>0</v>
      </c>
    </row>
    <row r="149" spans="1:1" x14ac:dyDescent="0.2">
      <c r="A149">
        <v>0</v>
      </c>
    </row>
    <row r="150" spans="1:1" x14ac:dyDescent="0.2">
      <c r="A150">
        <v>0</v>
      </c>
    </row>
    <row r="151" spans="1:1" x14ac:dyDescent="0.2">
      <c r="A151">
        <v>0</v>
      </c>
    </row>
    <row r="152" spans="1:1" x14ac:dyDescent="0.2">
      <c r="A152">
        <v>0</v>
      </c>
    </row>
    <row r="153" spans="1:1" x14ac:dyDescent="0.2">
      <c r="A153">
        <v>0</v>
      </c>
    </row>
    <row r="154" spans="1:1" x14ac:dyDescent="0.2">
      <c r="A154">
        <v>0</v>
      </c>
    </row>
    <row r="155" spans="1:1" x14ac:dyDescent="0.2">
      <c r="A155">
        <v>0</v>
      </c>
    </row>
    <row r="156" spans="1:1" x14ac:dyDescent="0.2">
      <c r="A156">
        <v>0</v>
      </c>
    </row>
    <row r="157" spans="1:1" x14ac:dyDescent="0.2">
      <c r="A157">
        <v>0</v>
      </c>
    </row>
    <row r="158" spans="1:1" x14ac:dyDescent="0.2">
      <c r="A158">
        <v>0</v>
      </c>
    </row>
    <row r="159" spans="1:1" x14ac:dyDescent="0.2">
      <c r="A159">
        <v>0</v>
      </c>
    </row>
    <row r="160" spans="1:1" x14ac:dyDescent="0.2">
      <c r="A160">
        <v>0</v>
      </c>
    </row>
    <row r="161" spans="1:1" x14ac:dyDescent="0.2">
      <c r="A161">
        <v>0</v>
      </c>
    </row>
    <row r="162" spans="1:1" x14ac:dyDescent="0.2">
      <c r="A162">
        <v>0</v>
      </c>
    </row>
    <row r="163" spans="1:1" x14ac:dyDescent="0.2">
      <c r="A163">
        <v>0</v>
      </c>
    </row>
    <row r="164" spans="1:1" x14ac:dyDescent="0.2">
      <c r="A164">
        <v>0</v>
      </c>
    </row>
    <row r="165" spans="1:1" x14ac:dyDescent="0.2">
      <c r="A165">
        <v>0</v>
      </c>
    </row>
    <row r="166" spans="1:1" x14ac:dyDescent="0.2">
      <c r="A166">
        <v>0</v>
      </c>
    </row>
    <row r="167" spans="1:1" x14ac:dyDescent="0.2">
      <c r="A167">
        <v>0</v>
      </c>
    </row>
    <row r="168" spans="1:1" x14ac:dyDescent="0.2">
      <c r="A168">
        <v>0</v>
      </c>
    </row>
    <row r="169" spans="1:1" x14ac:dyDescent="0.2">
      <c r="A169">
        <v>0</v>
      </c>
    </row>
    <row r="170" spans="1:1" x14ac:dyDescent="0.2">
      <c r="A170">
        <v>0</v>
      </c>
    </row>
    <row r="171" spans="1:1" x14ac:dyDescent="0.2">
      <c r="A171">
        <v>0</v>
      </c>
    </row>
    <row r="172" spans="1:1" x14ac:dyDescent="0.2">
      <c r="A172">
        <v>0</v>
      </c>
    </row>
    <row r="173" spans="1:1" x14ac:dyDescent="0.2">
      <c r="A173">
        <v>0</v>
      </c>
    </row>
    <row r="174" spans="1:1" x14ac:dyDescent="0.2">
      <c r="A174">
        <v>0</v>
      </c>
    </row>
    <row r="175" spans="1:1" x14ac:dyDescent="0.2">
      <c r="A175">
        <v>0</v>
      </c>
    </row>
    <row r="176" spans="1:1" x14ac:dyDescent="0.2">
      <c r="A176">
        <v>0</v>
      </c>
    </row>
    <row r="177" spans="1:1" x14ac:dyDescent="0.2">
      <c r="A177">
        <v>0</v>
      </c>
    </row>
    <row r="178" spans="1:1" x14ac:dyDescent="0.2">
      <c r="A178">
        <v>0</v>
      </c>
    </row>
    <row r="179" spans="1:1" x14ac:dyDescent="0.2">
      <c r="A179">
        <v>0</v>
      </c>
    </row>
    <row r="180" spans="1:1" x14ac:dyDescent="0.2">
      <c r="A180">
        <v>0</v>
      </c>
    </row>
    <row r="181" spans="1:1" x14ac:dyDescent="0.2">
      <c r="A181">
        <v>0</v>
      </c>
    </row>
    <row r="182" spans="1:1" x14ac:dyDescent="0.2">
      <c r="A182">
        <v>0</v>
      </c>
    </row>
    <row r="183" spans="1:1" x14ac:dyDescent="0.2">
      <c r="A183">
        <v>0</v>
      </c>
    </row>
    <row r="184" spans="1:1" x14ac:dyDescent="0.2">
      <c r="A184">
        <v>0</v>
      </c>
    </row>
    <row r="185" spans="1:1" x14ac:dyDescent="0.2">
      <c r="A185">
        <v>0</v>
      </c>
    </row>
    <row r="186" spans="1:1" x14ac:dyDescent="0.2">
      <c r="A186">
        <v>0</v>
      </c>
    </row>
    <row r="187" spans="1:1" x14ac:dyDescent="0.2">
      <c r="A187">
        <v>0</v>
      </c>
    </row>
    <row r="188" spans="1:1" x14ac:dyDescent="0.2">
      <c r="A188">
        <v>0</v>
      </c>
    </row>
    <row r="189" spans="1:1" x14ac:dyDescent="0.2">
      <c r="A189">
        <v>0</v>
      </c>
    </row>
    <row r="190" spans="1:1" x14ac:dyDescent="0.2">
      <c r="A190">
        <v>0</v>
      </c>
    </row>
    <row r="191" spans="1:1" x14ac:dyDescent="0.2">
      <c r="A191">
        <v>0</v>
      </c>
    </row>
    <row r="192" spans="1:1" x14ac:dyDescent="0.2">
      <c r="A192">
        <v>0</v>
      </c>
    </row>
    <row r="193" spans="1:1" x14ac:dyDescent="0.2">
      <c r="A193">
        <v>0</v>
      </c>
    </row>
    <row r="194" spans="1:1" x14ac:dyDescent="0.2">
      <c r="A194">
        <v>0</v>
      </c>
    </row>
    <row r="195" spans="1:1" x14ac:dyDescent="0.2">
      <c r="A195">
        <v>0</v>
      </c>
    </row>
    <row r="196" spans="1:1" x14ac:dyDescent="0.2">
      <c r="A196">
        <v>0</v>
      </c>
    </row>
    <row r="197" spans="1:1" x14ac:dyDescent="0.2">
      <c r="A197">
        <v>0</v>
      </c>
    </row>
    <row r="198" spans="1:1" x14ac:dyDescent="0.2">
      <c r="A198">
        <v>0</v>
      </c>
    </row>
    <row r="199" spans="1:1" x14ac:dyDescent="0.2">
      <c r="A199">
        <v>0</v>
      </c>
    </row>
    <row r="200" spans="1:1" x14ac:dyDescent="0.2">
      <c r="A200">
        <v>0</v>
      </c>
    </row>
    <row r="201" spans="1:1" x14ac:dyDescent="0.2">
      <c r="A201">
        <v>0</v>
      </c>
    </row>
    <row r="202" spans="1:1" x14ac:dyDescent="0.2">
      <c r="A202">
        <v>0</v>
      </c>
    </row>
    <row r="203" spans="1:1" x14ac:dyDescent="0.2">
      <c r="A203">
        <v>0</v>
      </c>
    </row>
    <row r="204" spans="1:1" x14ac:dyDescent="0.2">
      <c r="A204">
        <v>0</v>
      </c>
    </row>
    <row r="205" spans="1:1" x14ac:dyDescent="0.2">
      <c r="A205">
        <v>0</v>
      </c>
    </row>
    <row r="206" spans="1:1" x14ac:dyDescent="0.2">
      <c r="A206">
        <v>0</v>
      </c>
    </row>
    <row r="207" spans="1:1" x14ac:dyDescent="0.2">
      <c r="A207">
        <v>0</v>
      </c>
    </row>
    <row r="208" spans="1:1" x14ac:dyDescent="0.2">
      <c r="A208">
        <v>0</v>
      </c>
    </row>
    <row r="209" spans="1:1" x14ac:dyDescent="0.2">
      <c r="A209">
        <v>0</v>
      </c>
    </row>
    <row r="210" spans="1:1" x14ac:dyDescent="0.2">
      <c r="A210">
        <v>0</v>
      </c>
    </row>
    <row r="211" spans="1:1" x14ac:dyDescent="0.2">
      <c r="A211">
        <v>0</v>
      </c>
    </row>
    <row r="212" spans="1:1" x14ac:dyDescent="0.2">
      <c r="A212">
        <v>0</v>
      </c>
    </row>
    <row r="213" spans="1:1" x14ac:dyDescent="0.2">
      <c r="A213">
        <v>0</v>
      </c>
    </row>
    <row r="214" spans="1:1" x14ac:dyDescent="0.2">
      <c r="A214">
        <v>0</v>
      </c>
    </row>
    <row r="215" spans="1:1" x14ac:dyDescent="0.2">
      <c r="A215">
        <v>0</v>
      </c>
    </row>
    <row r="216" spans="1:1" x14ac:dyDescent="0.2">
      <c r="A216">
        <v>0</v>
      </c>
    </row>
    <row r="217" spans="1:1" x14ac:dyDescent="0.2">
      <c r="A217">
        <v>0</v>
      </c>
    </row>
    <row r="218" spans="1:1" x14ac:dyDescent="0.2">
      <c r="A218">
        <v>0</v>
      </c>
    </row>
    <row r="219" spans="1:1" x14ac:dyDescent="0.2">
      <c r="A219">
        <v>0</v>
      </c>
    </row>
    <row r="220" spans="1:1" x14ac:dyDescent="0.2">
      <c r="A220">
        <v>0</v>
      </c>
    </row>
    <row r="221" spans="1:1" x14ac:dyDescent="0.2">
      <c r="A221">
        <v>0</v>
      </c>
    </row>
    <row r="222" spans="1:1" x14ac:dyDescent="0.2">
      <c r="A222">
        <v>0</v>
      </c>
    </row>
    <row r="223" spans="1:1" x14ac:dyDescent="0.2">
      <c r="A223">
        <v>0</v>
      </c>
    </row>
    <row r="224" spans="1:1" x14ac:dyDescent="0.2">
      <c r="A224">
        <v>0</v>
      </c>
    </row>
    <row r="225" spans="1:1" x14ac:dyDescent="0.2">
      <c r="A225">
        <v>0</v>
      </c>
    </row>
    <row r="226" spans="1:1" x14ac:dyDescent="0.2">
      <c r="A226">
        <v>0</v>
      </c>
    </row>
    <row r="227" spans="1:1" x14ac:dyDescent="0.2">
      <c r="A227">
        <v>0</v>
      </c>
    </row>
    <row r="228" spans="1:1" x14ac:dyDescent="0.2">
      <c r="A228">
        <v>0</v>
      </c>
    </row>
    <row r="229" spans="1:1" x14ac:dyDescent="0.2">
      <c r="A229">
        <v>0</v>
      </c>
    </row>
    <row r="230" spans="1:1" x14ac:dyDescent="0.2">
      <c r="A230">
        <v>0</v>
      </c>
    </row>
    <row r="231" spans="1:1" x14ac:dyDescent="0.2">
      <c r="A231">
        <v>0</v>
      </c>
    </row>
    <row r="232" spans="1:1" x14ac:dyDescent="0.2">
      <c r="A232">
        <v>0</v>
      </c>
    </row>
    <row r="233" spans="1:1" x14ac:dyDescent="0.2">
      <c r="A233">
        <v>0</v>
      </c>
    </row>
    <row r="234" spans="1:1" x14ac:dyDescent="0.2">
      <c r="A234">
        <v>0</v>
      </c>
    </row>
    <row r="235" spans="1:1" x14ac:dyDescent="0.2">
      <c r="A235">
        <v>0</v>
      </c>
    </row>
    <row r="236" spans="1:1" x14ac:dyDescent="0.2">
      <c r="A236">
        <v>0</v>
      </c>
    </row>
    <row r="237" spans="1:1" x14ac:dyDescent="0.2">
      <c r="A237">
        <v>0</v>
      </c>
    </row>
    <row r="238" spans="1:1" x14ac:dyDescent="0.2">
      <c r="A238">
        <v>0</v>
      </c>
    </row>
    <row r="239" spans="1:1" x14ac:dyDescent="0.2">
      <c r="A239">
        <v>0</v>
      </c>
    </row>
    <row r="240" spans="1:1" x14ac:dyDescent="0.2">
      <c r="A240">
        <v>0</v>
      </c>
    </row>
    <row r="241" spans="1:1" x14ac:dyDescent="0.2">
      <c r="A241">
        <v>0</v>
      </c>
    </row>
    <row r="242" spans="1:1" x14ac:dyDescent="0.2">
      <c r="A242">
        <v>0</v>
      </c>
    </row>
    <row r="243" spans="1:1" x14ac:dyDescent="0.2">
      <c r="A243">
        <v>0</v>
      </c>
    </row>
    <row r="244" spans="1:1" x14ac:dyDescent="0.2">
      <c r="A244">
        <v>0</v>
      </c>
    </row>
    <row r="245" spans="1:1" x14ac:dyDescent="0.2">
      <c r="A245">
        <v>0</v>
      </c>
    </row>
    <row r="246" spans="1:1" x14ac:dyDescent="0.2">
      <c r="A246">
        <v>0</v>
      </c>
    </row>
    <row r="247" spans="1:1" x14ac:dyDescent="0.2">
      <c r="A247">
        <v>0</v>
      </c>
    </row>
    <row r="248" spans="1:1" x14ac:dyDescent="0.2">
      <c r="A248">
        <v>0</v>
      </c>
    </row>
    <row r="249" spans="1:1" x14ac:dyDescent="0.2">
      <c r="A249">
        <v>0</v>
      </c>
    </row>
    <row r="250" spans="1:1" x14ac:dyDescent="0.2">
      <c r="A250">
        <v>0</v>
      </c>
    </row>
    <row r="251" spans="1:1" x14ac:dyDescent="0.2">
      <c r="A251">
        <v>0</v>
      </c>
    </row>
    <row r="252" spans="1:1" x14ac:dyDescent="0.2">
      <c r="A252">
        <v>0</v>
      </c>
    </row>
    <row r="253" spans="1:1" x14ac:dyDescent="0.2">
      <c r="A253">
        <v>0</v>
      </c>
    </row>
    <row r="254" spans="1:1" x14ac:dyDescent="0.2">
      <c r="A254">
        <v>0</v>
      </c>
    </row>
    <row r="255" spans="1:1" x14ac:dyDescent="0.2">
      <c r="A255">
        <v>0</v>
      </c>
    </row>
    <row r="256" spans="1:1" x14ac:dyDescent="0.2">
      <c r="A256">
        <v>0</v>
      </c>
    </row>
    <row r="257" spans="1:1" x14ac:dyDescent="0.2">
      <c r="A257">
        <v>0</v>
      </c>
    </row>
    <row r="258" spans="1:1" x14ac:dyDescent="0.2">
      <c r="A258">
        <v>0</v>
      </c>
    </row>
    <row r="259" spans="1:1" x14ac:dyDescent="0.2">
      <c r="A259">
        <v>0</v>
      </c>
    </row>
    <row r="260" spans="1:1" x14ac:dyDescent="0.2">
      <c r="A260">
        <v>0</v>
      </c>
    </row>
    <row r="261" spans="1:1" x14ac:dyDescent="0.2">
      <c r="A261">
        <v>0</v>
      </c>
    </row>
    <row r="262" spans="1:1" x14ac:dyDescent="0.2">
      <c r="A262">
        <v>0</v>
      </c>
    </row>
    <row r="263" spans="1:1" x14ac:dyDescent="0.2">
      <c r="A263">
        <v>0</v>
      </c>
    </row>
    <row r="264" spans="1:1" x14ac:dyDescent="0.2">
      <c r="A264">
        <v>0</v>
      </c>
    </row>
    <row r="265" spans="1:1" x14ac:dyDescent="0.2">
      <c r="A265">
        <v>0</v>
      </c>
    </row>
    <row r="266" spans="1:1" x14ac:dyDescent="0.2">
      <c r="A266">
        <v>0</v>
      </c>
    </row>
    <row r="267" spans="1:1" x14ac:dyDescent="0.2">
      <c r="A267">
        <v>0</v>
      </c>
    </row>
    <row r="268" spans="1:1" x14ac:dyDescent="0.2">
      <c r="A268">
        <v>0</v>
      </c>
    </row>
    <row r="269" spans="1:1" x14ac:dyDescent="0.2">
      <c r="A269">
        <v>0</v>
      </c>
    </row>
    <row r="270" spans="1:1" x14ac:dyDescent="0.2">
      <c r="A270">
        <v>0</v>
      </c>
    </row>
    <row r="271" spans="1:1" x14ac:dyDescent="0.2">
      <c r="A271">
        <v>0</v>
      </c>
    </row>
    <row r="272" spans="1:1" x14ac:dyDescent="0.2">
      <c r="A272">
        <v>0</v>
      </c>
    </row>
    <row r="273" spans="1:1" x14ac:dyDescent="0.2">
      <c r="A273">
        <v>0</v>
      </c>
    </row>
    <row r="274" spans="1:1" x14ac:dyDescent="0.2">
      <c r="A274">
        <v>0</v>
      </c>
    </row>
    <row r="275" spans="1:1" x14ac:dyDescent="0.2">
      <c r="A275">
        <v>0</v>
      </c>
    </row>
    <row r="276" spans="1:1" x14ac:dyDescent="0.2">
      <c r="A276">
        <v>0</v>
      </c>
    </row>
    <row r="277" spans="1:1" x14ac:dyDescent="0.2">
      <c r="A277">
        <v>0</v>
      </c>
    </row>
    <row r="278" spans="1:1" x14ac:dyDescent="0.2">
      <c r="A278">
        <v>0</v>
      </c>
    </row>
    <row r="279" spans="1:1" x14ac:dyDescent="0.2">
      <c r="A279">
        <v>0</v>
      </c>
    </row>
    <row r="280" spans="1:1" x14ac:dyDescent="0.2">
      <c r="A280">
        <v>0</v>
      </c>
    </row>
    <row r="281" spans="1:1" x14ac:dyDescent="0.2">
      <c r="A281">
        <v>0</v>
      </c>
    </row>
    <row r="282" spans="1:1" x14ac:dyDescent="0.2">
      <c r="A282">
        <v>0</v>
      </c>
    </row>
    <row r="283" spans="1:1" x14ac:dyDescent="0.2">
      <c r="A283">
        <v>0</v>
      </c>
    </row>
    <row r="284" spans="1:1" x14ac:dyDescent="0.2">
      <c r="A284">
        <v>0</v>
      </c>
    </row>
    <row r="285" spans="1:1" x14ac:dyDescent="0.2">
      <c r="A285">
        <v>0</v>
      </c>
    </row>
    <row r="286" spans="1:1" x14ac:dyDescent="0.2">
      <c r="A286">
        <v>0</v>
      </c>
    </row>
    <row r="287" spans="1:1" x14ac:dyDescent="0.2">
      <c r="A287">
        <v>0</v>
      </c>
    </row>
    <row r="288" spans="1:1" x14ac:dyDescent="0.2">
      <c r="A288">
        <v>0</v>
      </c>
    </row>
    <row r="289" spans="1:1" x14ac:dyDescent="0.2">
      <c r="A289">
        <v>0</v>
      </c>
    </row>
    <row r="290" spans="1:1" x14ac:dyDescent="0.2">
      <c r="A290">
        <v>0</v>
      </c>
    </row>
    <row r="291" spans="1:1" x14ac:dyDescent="0.2">
      <c r="A291">
        <v>0</v>
      </c>
    </row>
    <row r="292" spans="1:1" x14ac:dyDescent="0.2">
      <c r="A292">
        <v>0</v>
      </c>
    </row>
    <row r="293" spans="1:1" x14ac:dyDescent="0.2">
      <c r="A293">
        <v>0</v>
      </c>
    </row>
    <row r="294" spans="1:1" x14ac:dyDescent="0.2">
      <c r="A294">
        <v>0</v>
      </c>
    </row>
    <row r="295" spans="1:1" x14ac:dyDescent="0.2">
      <c r="A295">
        <v>0</v>
      </c>
    </row>
    <row r="296" spans="1:1" x14ac:dyDescent="0.2">
      <c r="A296">
        <v>0</v>
      </c>
    </row>
    <row r="297" spans="1:1" x14ac:dyDescent="0.2">
      <c r="A297">
        <v>0</v>
      </c>
    </row>
    <row r="298" spans="1:1" x14ac:dyDescent="0.2">
      <c r="A298">
        <v>0</v>
      </c>
    </row>
    <row r="299" spans="1:1" x14ac:dyDescent="0.2">
      <c r="A299">
        <v>0</v>
      </c>
    </row>
    <row r="300" spans="1:1" x14ac:dyDescent="0.2">
      <c r="A300">
        <v>0</v>
      </c>
    </row>
    <row r="301" spans="1:1" x14ac:dyDescent="0.2">
      <c r="A301">
        <v>0</v>
      </c>
    </row>
    <row r="302" spans="1:1" x14ac:dyDescent="0.2">
      <c r="A302">
        <v>0</v>
      </c>
    </row>
    <row r="303" spans="1:1" x14ac:dyDescent="0.2">
      <c r="A303">
        <v>0</v>
      </c>
    </row>
    <row r="304" spans="1:1" x14ac:dyDescent="0.2">
      <c r="A304">
        <v>0</v>
      </c>
    </row>
    <row r="305" spans="1:1" x14ac:dyDescent="0.2">
      <c r="A305">
        <v>0</v>
      </c>
    </row>
    <row r="306" spans="1:1" x14ac:dyDescent="0.2">
      <c r="A306">
        <v>0</v>
      </c>
    </row>
    <row r="307" spans="1:1" x14ac:dyDescent="0.2">
      <c r="A307">
        <v>0</v>
      </c>
    </row>
  </sheetData>
  <dataValidations count="1">
    <dataValidation type="list" allowBlank="1" showInputMessage="1" showErrorMessage="1" sqref="A4:A1048576 B4:B1048576" xr:uid="{8FF2EA18-074A-8C47-8E70-805201563729}">
      <formula1>TProduits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5BAAC-FF1F-C241-8758-CE3006C80DF1}">
  <sheetPr codeName="Feuil10"/>
  <dimension ref="B1:G62"/>
  <sheetViews>
    <sheetView workbookViewId="0">
      <selection activeCell="E53" sqref="E53"/>
    </sheetView>
  </sheetViews>
  <sheetFormatPr baseColWidth="10" defaultRowHeight="16" x14ac:dyDescent="0.2"/>
  <cols>
    <col min="1" max="1" width="5" customWidth="1"/>
    <col min="2" max="2" width="41.6640625" bestFit="1" customWidth="1"/>
    <col min="3" max="3" width="18.6640625" customWidth="1"/>
    <col min="5" max="5" width="10.83203125" style="15"/>
    <col min="6" max="6" width="62.33203125" bestFit="1" customWidth="1"/>
    <col min="7" max="7" width="182.5" bestFit="1" customWidth="1"/>
  </cols>
  <sheetData>
    <row r="1" spans="2:6" ht="17" thickBot="1" x14ac:dyDescent="0.25"/>
    <row r="2" spans="2:6" ht="17" thickBot="1" x14ac:dyDescent="0.25">
      <c r="B2" s="35" t="s">
        <v>170</v>
      </c>
      <c r="C2" s="36">
        <v>27</v>
      </c>
      <c r="E2" s="15" t="s">
        <v>227</v>
      </c>
    </row>
    <row r="3" spans="2:6" x14ac:dyDescent="0.2">
      <c r="B3" s="35" t="s">
        <v>171</v>
      </c>
      <c r="C3" s="36">
        <v>18</v>
      </c>
      <c r="E3" s="15" t="s">
        <v>247</v>
      </c>
    </row>
    <row r="4" spans="2:6" ht="17" thickBot="1" x14ac:dyDescent="0.25">
      <c r="B4" s="37" t="s">
        <v>172</v>
      </c>
      <c r="C4" s="38">
        <v>8</v>
      </c>
      <c r="E4" s="15" t="s">
        <v>228</v>
      </c>
    </row>
    <row r="5" spans="2:6" x14ac:dyDescent="0.2">
      <c r="B5" s="35" t="s">
        <v>173</v>
      </c>
      <c r="C5" s="48">
        <f>C2-C3</f>
        <v>9</v>
      </c>
      <c r="E5" s="15" t="s">
        <v>229</v>
      </c>
      <c r="F5" t="s">
        <v>248</v>
      </c>
    </row>
    <row r="6" spans="2:6" ht="17" thickBot="1" x14ac:dyDescent="0.25">
      <c r="B6" s="37" t="s">
        <v>174</v>
      </c>
      <c r="C6" s="38">
        <v>12</v>
      </c>
      <c r="E6" s="15" t="s">
        <v>230</v>
      </c>
    </row>
    <row r="7" spans="2:6" x14ac:dyDescent="0.2">
      <c r="B7" s="35" t="s">
        <v>175</v>
      </c>
      <c r="C7" s="36">
        <v>40</v>
      </c>
      <c r="E7" s="15" t="s">
        <v>232</v>
      </c>
    </row>
    <row r="8" spans="2:6" x14ac:dyDescent="0.2">
      <c r="B8" s="39" t="s">
        <v>176</v>
      </c>
      <c r="C8" s="40">
        <v>40</v>
      </c>
      <c r="E8" s="15" t="s">
        <v>233</v>
      </c>
    </row>
    <row r="9" spans="2:6" ht="17" thickBot="1" x14ac:dyDescent="0.25">
      <c r="B9" s="39" t="s">
        <v>177</v>
      </c>
      <c r="C9" s="40">
        <v>40</v>
      </c>
      <c r="E9" s="15" t="s">
        <v>244</v>
      </c>
    </row>
    <row r="10" spans="2:6" x14ac:dyDescent="0.2">
      <c r="B10" s="35" t="s">
        <v>252</v>
      </c>
      <c r="C10" s="48">
        <f>C7+C8+C9</f>
        <v>120</v>
      </c>
      <c r="E10" s="15" t="s">
        <v>254</v>
      </c>
      <c r="F10" t="s">
        <v>256</v>
      </c>
    </row>
    <row r="11" spans="2:6" x14ac:dyDescent="0.2">
      <c r="B11" s="39" t="s">
        <v>253</v>
      </c>
      <c r="C11" s="50">
        <f>C7+C9</f>
        <v>80</v>
      </c>
      <c r="E11" s="15" t="s">
        <v>255</v>
      </c>
      <c r="F11" t="s">
        <v>257</v>
      </c>
    </row>
    <row r="12" spans="2:6" ht="17" thickBot="1" x14ac:dyDescent="0.25">
      <c r="B12" s="37" t="s">
        <v>259</v>
      </c>
      <c r="C12" s="47">
        <f>C10*C5+C11*C3</f>
        <v>2520</v>
      </c>
      <c r="E12" s="15" t="s">
        <v>231</v>
      </c>
      <c r="F12" t="s">
        <v>260</v>
      </c>
    </row>
    <row r="13" spans="2:6" x14ac:dyDescent="0.2">
      <c r="B13" s="39" t="s">
        <v>178</v>
      </c>
      <c r="C13" s="41">
        <v>13</v>
      </c>
      <c r="E13" s="15" t="s">
        <v>234</v>
      </c>
    </row>
    <row r="14" spans="2:6" x14ac:dyDescent="0.2">
      <c r="B14" s="39" t="s">
        <v>179</v>
      </c>
      <c r="C14" s="41">
        <v>17</v>
      </c>
      <c r="E14" s="15" t="s">
        <v>235</v>
      </c>
    </row>
    <row r="15" spans="2:6" ht="17" thickBot="1" x14ac:dyDescent="0.25">
      <c r="B15" s="37" t="s">
        <v>180</v>
      </c>
      <c r="C15" s="43">
        <v>4.0999999999999996</v>
      </c>
      <c r="E15" s="15" t="s">
        <v>236</v>
      </c>
    </row>
    <row r="16" spans="2:6" x14ac:dyDescent="0.2">
      <c r="B16" s="35" t="s">
        <v>181</v>
      </c>
      <c r="C16" s="44">
        <v>4</v>
      </c>
      <c r="E16" s="15" t="s">
        <v>237</v>
      </c>
    </row>
    <row r="17" spans="2:6" x14ac:dyDescent="0.2">
      <c r="B17" s="39" t="s">
        <v>182</v>
      </c>
      <c r="C17" s="42">
        <v>1</v>
      </c>
      <c r="E17" s="15" t="s">
        <v>238</v>
      </c>
    </row>
    <row r="18" spans="2:6" x14ac:dyDescent="0.2">
      <c r="B18" s="39" t="s">
        <v>268</v>
      </c>
      <c r="C18" s="53">
        <f>C17+C16</f>
        <v>5</v>
      </c>
      <c r="E18" s="15" t="s">
        <v>267</v>
      </c>
      <c r="F18" t="s">
        <v>280</v>
      </c>
    </row>
    <row r="19" spans="2:6" x14ac:dyDescent="0.2">
      <c r="B19" s="39" t="s">
        <v>183</v>
      </c>
      <c r="C19" s="41">
        <v>1700</v>
      </c>
      <c r="E19" s="15" t="s">
        <v>239</v>
      </c>
    </row>
    <row r="20" spans="2:6" ht="17" thickBot="1" x14ac:dyDescent="0.25">
      <c r="B20" s="37" t="s">
        <v>184</v>
      </c>
      <c r="C20" s="43">
        <v>2300</v>
      </c>
      <c r="E20" s="15" t="s">
        <v>240</v>
      </c>
    </row>
    <row r="21" spans="2:6" x14ac:dyDescent="0.2">
      <c r="B21" s="39" t="s">
        <v>185</v>
      </c>
      <c r="C21" s="41">
        <v>0.25</v>
      </c>
      <c r="E21" s="15" t="s">
        <v>241</v>
      </c>
    </row>
    <row r="22" spans="2:6" x14ac:dyDescent="0.2">
      <c r="B22" s="39" t="s">
        <v>250</v>
      </c>
      <c r="C22" s="42">
        <v>20</v>
      </c>
      <c r="E22" s="15" t="s">
        <v>251</v>
      </c>
    </row>
    <row r="23" spans="2:6" x14ac:dyDescent="0.2">
      <c r="B23" s="39" t="s">
        <v>186</v>
      </c>
      <c r="C23" s="41">
        <v>4</v>
      </c>
      <c r="E23" s="15" t="s">
        <v>242</v>
      </c>
    </row>
    <row r="24" spans="2:6" x14ac:dyDescent="0.2">
      <c r="B24" s="39" t="s">
        <v>264</v>
      </c>
      <c r="C24" s="51">
        <v>0.8</v>
      </c>
      <c r="E24" s="15" t="s">
        <v>265</v>
      </c>
    </row>
    <row r="25" spans="2:6" ht="17" thickBot="1" x14ac:dyDescent="0.25">
      <c r="B25" s="39" t="s">
        <v>261</v>
      </c>
      <c r="C25" s="51">
        <v>75</v>
      </c>
      <c r="E25" s="15" t="s">
        <v>263</v>
      </c>
    </row>
    <row r="26" spans="2:6" ht="17" thickBot="1" x14ac:dyDescent="0.25">
      <c r="B26" s="45" t="s">
        <v>187</v>
      </c>
      <c r="C26" s="46">
        <v>20</v>
      </c>
      <c r="E26" s="15" t="s">
        <v>243</v>
      </c>
    </row>
    <row r="27" spans="2:6" ht="17" thickBot="1" x14ac:dyDescent="0.25">
      <c r="B27" s="45" t="s">
        <v>271</v>
      </c>
      <c r="C27" s="52">
        <v>5</v>
      </c>
    </row>
    <row r="28" spans="2:6" ht="17" thickBot="1" x14ac:dyDescent="0.25"/>
    <row r="29" spans="2:6" x14ac:dyDescent="0.2">
      <c r="B29" s="62" t="s">
        <v>192</v>
      </c>
      <c r="C29" s="63"/>
    </row>
    <row r="30" spans="2:6" x14ac:dyDescent="0.2">
      <c r="B30" s="64" t="s">
        <v>188</v>
      </c>
      <c r="C30" s="65">
        <f>(C7*C13+C9*C14)*C3</f>
        <v>21600</v>
      </c>
      <c r="E30" s="49"/>
      <c r="F30" t="s">
        <v>249</v>
      </c>
    </row>
    <row r="31" spans="2:6" x14ac:dyDescent="0.2">
      <c r="B31" s="64" t="s">
        <v>189</v>
      </c>
      <c r="C31" s="65">
        <f>(C7*C13+C8*C13+C9*C14)*C5</f>
        <v>15480</v>
      </c>
      <c r="E31" s="49"/>
      <c r="F31" t="s">
        <v>245</v>
      </c>
    </row>
    <row r="32" spans="2:6" x14ac:dyDescent="0.2">
      <c r="B32" s="64" t="s">
        <v>190</v>
      </c>
      <c r="C32" s="66">
        <f>SUM(C30:C31)</f>
        <v>37080</v>
      </c>
      <c r="E32" s="15" t="s">
        <v>262</v>
      </c>
    </row>
    <row r="33" spans="2:7" ht="17" thickBot="1" x14ac:dyDescent="0.25">
      <c r="B33" s="67" t="s">
        <v>191</v>
      </c>
      <c r="C33" s="68">
        <f>C32/C2</f>
        <v>1373.3333333333333</v>
      </c>
      <c r="F33" t="s">
        <v>269</v>
      </c>
    </row>
    <row r="34" spans="2:7" ht="17" thickBot="1" x14ac:dyDescent="0.25"/>
    <row r="35" spans="2:7" x14ac:dyDescent="0.2">
      <c r="B35" s="54" t="s">
        <v>193</v>
      </c>
      <c r="C35" s="55"/>
    </row>
    <row r="36" spans="2:7" x14ac:dyDescent="0.2">
      <c r="B36" s="56" t="s">
        <v>194</v>
      </c>
      <c r="C36" s="57">
        <f>C5*C10*C15+C3*C11*C15</f>
        <v>10332</v>
      </c>
      <c r="F36" t="s">
        <v>258</v>
      </c>
    </row>
    <row r="37" spans="2:7" x14ac:dyDescent="0.2">
      <c r="B37" s="56" t="s">
        <v>195</v>
      </c>
      <c r="C37" s="57">
        <f>C16*C19+C17*C20</f>
        <v>9100</v>
      </c>
      <c r="F37" t="s">
        <v>246</v>
      </c>
    </row>
    <row r="38" spans="2:7" x14ac:dyDescent="0.2">
      <c r="B38" s="56" t="s">
        <v>136</v>
      </c>
      <c r="C38" s="58">
        <v>3500</v>
      </c>
    </row>
    <row r="39" spans="2:7" x14ac:dyDescent="0.2">
      <c r="B39" s="56" t="s">
        <v>196</v>
      </c>
      <c r="C39" s="58">
        <v>3000</v>
      </c>
      <c r="G39" t="s">
        <v>197</v>
      </c>
    </row>
    <row r="40" spans="2:7" x14ac:dyDescent="0.2">
      <c r="B40" s="56" t="s">
        <v>198</v>
      </c>
      <c r="C40" s="58">
        <v>2000</v>
      </c>
    </row>
    <row r="41" spans="2:7" x14ac:dyDescent="0.2">
      <c r="B41" s="56" t="s">
        <v>199</v>
      </c>
      <c r="C41" s="58">
        <v>700</v>
      </c>
      <c r="G41" t="s">
        <v>200</v>
      </c>
    </row>
    <row r="42" spans="2:7" x14ac:dyDescent="0.2">
      <c r="B42" s="56" t="s">
        <v>201</v>
      </c>
      <c r="C42" s="58">
        <v>550</v>
      </c>
      <c r="G42" t="s">
        <v>202</v>
      </c>
    </row>
    <row r="43" spans="2:7" x14ac:dyDescent="0.2">
      <c r="B43" s="56" t="s">
        <v>137</v>
      </c>
      <c r="C43" s="57">
        <f>C12*C23*C22/1000</f>
        <v>201.6</v>
      </c>
      <c r="F43" t="s">
        <v>266</v>
      </c>
      <c r="G43" t="s">
        <v>203</v>
      </c>
    </row>
    <row r="44" spans="2:7" x14ac:dyDescent="0.2">
      <c r="B44" s="56" t="s">
        <v>204</v>
      </c>
      <c r="C44" s="57">
        <f>C32*C25/100 * C24/100</f>
        <v>222.48</v>
      </c>
      <c r="F44" t="s">
        <v>270</v>
      </c>
      <c r="G44" t="s">
        <v>205</v>
      </c>
    </row>
    <row r="45" spans="2:7" x14ac:dyDescent="0.2">
      <c r="B45" s="56" t="s">
        <v>206</v>
      </c>
      <c r="C45" s="58">
        <v>300</v>
      </c>
      <c r="G45" t="s">
        <v>207</v>
      </c>
    </row>
    <row r="46" spans="2:7" x14ac:dyDescent="0.2">
      <c r="B46" s="56" t="s">
        <v>208</v>
      </c>
      <c r="C46" s="58">
        <v>200</v>
      </c>
      <c r="G46" t="s">
        <v>209</v>
      </c>
    </row>
    <row r="47" spans="2:7" x14ac:dyDescent="0.2">
      <c r="B47" s="56" t="s">
        <v>210</v>
      </c>
      <c r="C47" s="58">
        <v>150</v>
      </c>
      <c r="G47" t="s">
        <v>211</v>
      </c>
    </row>
    <row r="48" spans="2:7" x14ac:dyDescent="0.2">
      <c r="B48" s="56" t="s">
        <v>212</v>
      </c>
      <c r="C48" s="58">
        <v>100</v>
      </c>
      <c r="G48" t="s">
        <v>213</v>
      </c>
    </row>
    <row r="49" spans="2:7" x14ac:dyDescent="0.2">
      <c r="B49" s="56" t="s">
        <v>214</v>
      </c>
      <c r="C49" s="58">
        <v>150</v>
      </c>
      <c r="G49" t="s">
        <v>215</v>
      </c>
    </row>
    <row r="50" spans="2:7" x14ac:dyDescent="0.2">
      <c r="B50" s="56" t="s">
        <v>187</v>
      </c>
      <c r="C50" s="58">
        <f>(C16+C17)*C26</f>
        <v>100</v>
      </c>
    </row>
    <row r="51" spans="2:7" x14ac:dyDescent="0.2">
      <c r="B51" s="56" t="s">
        <v>216</v>
      </c>
      <c r="C51" s="58">
        <v>50</v>
      </c>
    </row>
    <row r="52" spans="2:7" x14ac:dyDescent="0.2">
      <c r="B52" s="56" t="s">
        <v>217</v>
      </c>
      <c r="C52" s="58">
        <v>50</v>
      </c>
      <c r="G52" t="s">
        <v>218</v>
      </c>
    </row>
    <row r="53" spans="2:7" x14ac:dyDescent="0.2">
      <c r="B53" s="56" t="s">
        <v>219</v>
      </c>
      <c r="C53" s="58">
        <v>90</v>
      </c>
    </row>
    <row r="54" spans="2:7" x14ac:dyDescent="0.2">
      <c r="B54" s="56" t="s">
        <v>220</v>
      </c>
      <c r="C54" s="57">
        <f>(C3*C4+C5*C6)*C27*C21</f>
        <v>315</v>
      </c>
      <c r="F54" t="s">
        <v>272</v>
      </c>
      <c r="G54" t="s">
        <v>221</v>
      </c>
    </row>
    <row r="55" spans="2:7" x14ac:dyDescent="0.2">
      <c r="B55" s="56" t="s">
        <v>222</v>
      </c>
      <c r="C55" s="58">
        <v>50</v>
      </c>
      <c r="G55" t="s">
        <v>223</v>
      </c>
    </row>
    <row r="56" spans="2:7" x14ac:dyDescent="0.2">
      <c r="B56" s="59" t="s">
        <v>190</v>
      </c>
      <c r="C56" s="58">
        <f>SUM(C36:C55)</f>
        <v>31161.079999999998</v>
      </c>
    </row>
    <row r="57" spans="2:7" x14ac:dyDescent="0.2">
      <c r="B57" s="56" t="s">
        <v>224</v>
      </c>
      <c r="C57" s="58">
        <f>C56*0.05</f>
        <v>1558.0540000000001</v>
      </c>
      <c r="G57" t="s">
        <v>225</v>
      </c>
    </row>
    <row r="58" spans="2:7" ht="17" thickBot="1" x14ac:dyDescent="0.25">
      <c r="B58" s="60" t="s">
        <v>226</v>
      </c>
      <c r="C58" s="61">
        <f>C57+C56</f>
        <v>32719.133999999998</v>
      </c>
      <c r="E58" s="15" t="s">
        <v>273</v>
      </c>
    </row>
    <row r="61" spans="2:7" x14ac:dyDescent="0.2">
      <c r="B61" t="s">
        <v>274</v>
      </c>
      <c r="C61" s="9">
        <f>C32-C58</f>
        <v>4360.8660000000018</v>
      </c>
      <c r="E61" s="15" t="s">
        <v>277</v>
      </c>
      <c r="F61" t="s">
        <v>276</v>
      </c>
    </row>
    <row r="62" spans="2:7" x14ac:dyDescent="0.2">
      <c r="B62" t="s">
        <v>275</v>
      </c>
      <c r="C62" s="9">
        <f>100 * C61/C32</f>
        <v>11.760695792880265</v>
      </c>
      <c r="E62" s="15" t="s">
        <v>279</v>
      </c>
      <c r="F62" t="s">
        <v>278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ABFC1-4B74-4D43-A3C0-383BA4412CB5}">
  <sheetPr codeName="Feuil12"/>
  <dimension ref="A1:J37"/>
  <sheetViews>
    <sheetView workbookViewId="0">
      <selection activeCell="E53" sqref="E53"/>
    </sheetView>
  </sheetViews>
  <sheetFormatPr baseColWidth="10" defaultRowHeight="16" x14ac:dyDescent="0.2"/>
  <cols>
    <col min="1" max="1" width="25.83203125" bestFit="1" customWidth="1"/>
    <col min="2" max="2" width="32.83203125" bestFit="1" customWidth="1"/>
    <col min="3" max="3" width="12.1640625" style="9" bestFit="1" customWidth="1"/>
    <col min="4" max="5" width="10.83203125" style="9"/>
    <col min="6" max="6" width="20.33203125" style="9" customWidth="1"/>
    <col min="7" max="7" width="10.83203125" style="9"/>
    <col min="8" max="8" width="21.33203125" customWidth="1"/>
  </cols>
  <sheetData>
    <row r="1" spans="1:10" ht="52" thickBot="1" x14ac:dyDescent="0.25">
      <c r="A1" s="4" t="s">
        <v>113</v>
      </c>
      <c r="B1" s="4" t="s">
        <v>128</v>
      </c>
      <c r="C1" s="5" t="s">
        <v>129</v>
      </c>
      <c r="D1" s="30" t="s">
        <v>132</v>
      </c>
      <c r="E1" s="30" t="s">
        <v>133</v>
      </c>
      <c r="F1" s="30" t="s">
        <v>135</v>
      </c>
      <c r="G1" s="30" t="s">
        <v>134</v>
      </c>
      <c r="I1" s="108" t="s">
        <v>305</v>
      </c>
      <c r="J1" s="109">
        <v>0.25</v>
      </c>
    </row>
    <row r="2" spans="1:10" ht="17" thickBot="1" x14ac:dyDescent="0.25">
      <c r="A2" s="2" t="e">
        <f>'Récapitulatif couts recettes'!#REF!</f>
        <v>#REF!</v>
      </c>
      <c r="B2" s="2" t="e">
        <f>'Récapitulatif couts recettes'!#REF!</f>
        <v>#REF!</v>
      </c>
      <c r="C2" s="2" t="e">
        <f>'Récapitulatif couts recettes'!#REF!</f>
        <v>#REF!</v>
      </c>
      <c r="D2" s="31">
        <v>0.25</v>
      </c>
      <c r="E2" s="32" t="e">
        <f>D2*C2</f>
        <v>#REF!</v>
      </c>
      <c r="F2" s="33" t="e">
        <f>E2+C2</f>
        <v>#REF!</v>
      </c>
      <c r="G2" s="34"/>
    </row>
    <row r="3" spans="1:10" ht="17" thickBot="1" x14ac:dyDescent="0.25">
      <c r="A3" s="2" t="e">
        <f>'Récapitulatif couts recettes'!#REF!</f>
        <v>#REF!</v>
      </c>
      <c r="B3" s="2" t="e">
        <f>'Récapitulatif couts recettes'!#REF!</f>
        <v>#REF!</v>
      </c>
      <c r="C3" s="2" t="e">
        <f>'Récapitulatif couts recettes'!#REF!</f>
        <v>#REF!</v>
      </c>
      <c r="D3" s="31">
        <v>0.25</v>
      </c>
      <c r="E3" s="32" t="e">
        <f t="shared" ref="E3:E37" si="0">D3*C3</f>
        <v>#REF!</v>
      </c>
      <c r="F3" s="33" t="e">
        <f t="shared" ref="F3:F37" si="1">E3+C3</f>
        <v>#REF!</v>
      </c>
      <c r="G3" s="34"/>
    </row>
    <row r="4" spans="1:10" ht="17" thickBot="1" x14ac:dyDescent="0.25">
      <c r="A4" s="2" t="e">
        <f>'Récapitulatif couts recettes'!#REF!</f>
        <v>#REF!</v>
      </c>
      <c r="B4" s="2" t="e">
        <f>'Récapitulatif couts recettes'!#REF!</f>
        <v>#REF!</v>
      </c>
      <c r="C4" s="2" t="e">
        <f>'Récapitulatif couts recettes'!#REF!</f>
        <v>#REF!</v>
      </c>
      <c r="D4" s="31">
        <v>0.25</v>
      </c>
      <c r="E4" s="32" t="e">
        <f t="shared" si="0"/>
        <v>#REF!</v>
      </c>
      <c r="F4" s="33" t="e">
        <f t="shared" si="1"/>
        <v>#REF!</v>
      </c>
      <c r="G4" s="34"/>
    </row>
    <row r="5" spans="1:10" ht="17" thickBot="1" x14ac:dyDescent="0.25">
      <c r="A5" s="2" t="e">
        <f>'Récapitulatif couts recettes'!#REF!</f>
        <v>#REF!</v>
      </c>
      <c r="B5" s="2" t="e">
        <f>'Récapitulatif couts recettes'!#REF!</f>
        <v>#REF!</v>
      </c>
      <c r="C5" s="2" t="e">
        <f>'Récapitulatif couts recettes'!#REF!</f>
        <v>#REF!</v>
      </c>
      <c r="D5" s="31">
        <v>0.25</v>
      </c>
      <c r="E5" s="32" t="e">
        <f t="shared" si="0"/>
        <v>#REF!</v>
      </c>
      <c r="F5" s="33" t="e">
        <f t="shared" si="1"/>
        <v>#REF!</v>
      </c>
      <c r="G5" s="34"/>
    </row>
    <row r="6" spans="1:10" ht="17" thickBot="1" x14ac:dyDescent="0.25">
      <c r="A6" s="2" t="e">
        <f>'Récapitulatif couts recettes'!#REF!</f>
        <v>#REF!</v>
      </c>
      <c r="B6" s="2" t="e">
        <f>'Récapitulatif couts recettes'!#REF!</f>
        <v>#REF!</v>
      </c>
      <c r="C6" s="2" t="e">
        <f>'Récapitulatif couts recettes'!#REF!</f>
        <v>#REF!</v>
      </c>
      <c r="D6" s="31">
        <v>0.25</v>
      </c>
      <c r="E6" s="32" t="e">
        <f t="shared" si="0"/>
        <v>#REF!</v>
      </c>
      <c r="F6" s="33" t="e">
        <f t="shared" si="1"/>
        <v>#REF!</v>
      </c>
      <c r="G6" s="34"/>
    </row>
    <row r="7" spans="1:10" ht="17" thickBot="1" x14ac:dyDescent="0.25">
      <c r="A7" s="2" t="e">
        <f>'Récapitulatif couts recettes'!#REF!</f>
        <v>#REF!</v>
      </c>
      <c r="B7" s="2" t="e">
        <f>'Récapitulatif couts recettes'!#REF!</f>
        <v>#REF!</v>
      </c>
      <c r="C7" s="2" t="e">
        <f>'Récapitulatif couts recettes'!#REF!</f>
        <v>#REF!</v>
      </c>
      <c r="D7" s="31">
        <v>0.25</v>
      </c>
      <c r="E7" s="32" t="e">
        <f t="shared" si="0"/>
        <v>#REF!</v>
      </c>
      <c r="F7" s="33" t="e">
        <f t="shared" si="1"/>
        <v>#REF!</v>
      </c>
      <c r="G7" s="34"/>
    </row>
    <row r="8" spans="1:10" ht="17" thickBot="1" x14ac:dyDescent="0.25">
      <c r="A8" s="2" t="e">
        <f>'Récapitulatif couts recettes'!#REF!</f>
        <v>#REF!</v>
      </c>
      <c r="B8" s="2" t="e">
        <f>'Récapitulatif couts recettes'!#REF!</f>
        <v>#REF!</v>
      </c>
      <c r="C8" s="2" t="e">
        <f>'Récapitulatif couts recettes'!#REF!</f>
        <v>#REF!</v>
      </c>
      <c r="D8" s="31">
        <v>0.25</v>
      </c>
      <c r="E8" s="32" t="e">
        <f t="shared" si="0"/>
        <v>#REF!</v>
      </c>
      <c r="F8" s="33" t="e">
        <f t="shared" si="1"/>
        <v>#REF!</v>
      </c>
      <c r="G8" s="34"/>
    </row>
    <row r="9" spans="1:10" ht="17" thickBot="1" x14ac:dyDescent="0.25">
      <c r="A9" s="2" t="e">
        <f>'Récapitulatif couts recettes'!#REF!</f>
        <v>#REF!</v>
      </c>
      <c r="B9" s="2" t="e">
        <f>'Récapitulatif couts recettes'!#REF!</f>
        <v>#REF!</v>
      </c>
      <c r="C9" s="2" t="e">
        <f>'Récapitulatif couts recettes'!#REF!</f>
        <v>#REF!</v>
      </c>
      <c r="D9" s="31">
        <v>0.25</v>
      </c>
      <c r="E9" s="32" t="e">
        <f t="shared" si="0"/>
        <v>#REF!</v>
      </c>
      <c r="F9" s="33" t="e">
        <f t="shared" si="1"/>
        <v>#REF!</v>
      </c>
      <c r="G9" s="34"/>
    </row>
    <row r="10" spans="1:10" ht="17" thickBot="1" x14ac:dyDescent="0.25">
      <c r="A10" s="2" t="e">
        <f>'Récapitulatif couts recettes'!#REF!</f>
        <v>#REF!</v>
      </c>
      <c r="B10" s="2" t="e">
        <f>'Récapitulatif couts recettes'!#REF!</f>
        <v>#REF!</v>
      </c>
      <c r="C10" s="2" t="e">
        <f>'Récapitulatif couts recettes'!#REF!</f>
        <v>#REF!</v>
      </c>
      <c r="D10" s="31">
        <v>0.25</v>
      </c>
      <c r="E10" s="32" t="e">
        <f t="shared" si="0"/>
        <v>#REF!</v>
      </c>
      <c r="F10" s="33" t="e">
        <f t="shared" si="1"/>
        <v>#REF!</v>
      </c>
      <c r="G10" s="34"/>
    </row>
    <row r="11" spans="1:10" ht="17" thickBot="1" x14ac:dyDescent="0.25">
      <c r="A11" s="2" t="e">
        <f>'Récapitulatif couts recettes'!#REF!</f>
        <v>#REF!</v>
      </c>
      <c r="B11" s="2" t="e">
        <f>'Récapitulatif couts recettes'!#REF!</f>
        <v>#REF!</v>
      </c>
      <c r="C11" s="2" t="e">
        <f>'Récapitulatif couts recettes'!#REF!</f>
        <v>#REF!</v>
      </c>
      <c r="D11" s="31">
        <v>0.25</v>
      </c>
      <c r="E11" s="32" t="e">
        <f t="shared" si="0"/>
        <v>#REF!</v>
      </c>
      <c r="F11" s="33" t="e">
        <f t="shared" si="1"/>
        <v>#REF!</v>
      </c>
      <c r="G11" s="34"/>
    </row>
    <row r="12" spans="1:10" ht="17" thickBot="1" x14ac:dyDescent="0.25">
      <c r="A12" s="2" t="e">
        <f>'Récapitulatif couts recettes'!#REF!</f>
        <v>#REF!</v>
      </c>
      <c r="B12" s="2" t="e">
        <f>'Récapitulatif couts recettes'!#REF!</f>
        <v>#REF!</v>
      </c>
      <c r="C12" s="2" t="e">
        <f>'Récapitulatif couts recettes'!#REF!</f>
        <v>#REF!</v>
      </c>
      <c r="D12" s="31">
        <v>0.25</v>
      </c>
      <c r="E12" s="32" t="e">
        <f t="shared" si="0"/>
        <v>#REF!</v>
      </c>
      <c r="F12" s="33" t="e">
        <f t="shared" si="1"/>
        <v>#REF!</v>
      </c>
      <c r="G12" s="34"/>
    </row>
    <row r="13" spans="1:10" ht="17" thickBot="1" x14ac:dyDescent="0.25">
      <c r="A13" s="2" t="e">
        <f>'Récapitulatif couts recettes'!#REF!</f>
        <v>#REF!</v>
      </c>
      <c r="B13" s="2" t="e">
        <f>'Récapitulatif couts recettes'!#REF!</f>
        <v>#REF!</v>
      </c>
      <c r="C13" s="2" t="e">
        <f>'Récapitulatif couts recettes'!#REF!</f>
        <v>#REF!</v>
      </c>
      <c r="D13" s="31">
        <v>0.25</v>
      </c>
      <c r="E13" s="32" t="e">
        <f t="shared" si="0"/>
        <v>#REF!</v>
      </c>
      <c r="F13" s="33" t="e">
        <f t="shared" si="1"/>
        <v>#REF!</v>
      </c>
      <c r="G13" s="34"/>
    </row>
    <row r="14" spans="1:10" ht="17" thickBot="1" x14ac:dyDescent="0.25">
      <c r="A14" s="2" t="e">
        <f>'Récapitulatif couts recettes'!#REF!</f>
        <v>#REF!</v>
      </c>
      <c r="B14" s="2" t="e">
        <f>'Récapitulatif couts recettes'!#REF!</f>
        <v>#REF!</v>
      </c>
      <c r="C14" s="2" t="e">
        <f>'Récapitulatif couts recettes'!#REF!</f>
        <v>#REF!</v>
      </c>
      <c r="D14" s="31">
        <v>0.25</v>
      </c>
      <c r="E14" s="32" t="e">
        <f t="shared" si="0"/>
        <v>#REF!</v>
      </c>
      <c r="F14" s="33" t="e">
        <f t="shared" si="1"/>
        <v>#REF!</v>
      </c>
      <c r="G14" s="34"/>
    </row>
    <row r="15" spans="1:10" ht="17" thickBot="1" x14ac:dyDescent="0.25">
      <c r="A15" s="2" t="e">
        <f>'Récapitulatif couts recettes'!#REF!</f>
        <v>#REF!</v>
      </c>
      <c r="B15" s="2" t="e">
        <f>'Récapitulatif couts recettes'!#REF!</f>
        <v>#REF!</v>
      </c>
      <c r="C15" s="2" t="e">
        <f>'Récapitulatif couts recettes'!#REF!</f>
        <v>#REF!</v>
      </c>
      <c r="D15" s="31">
        <v>0.25</v>
      </c>
      <c r="E15" s="32" t="e">
        <f t="shared" si="0"/>
        <v>#REF!</v>
      </c>
      <c r="F15" s="33" t="e">
        <f t="shared" si="1"/>
        <v>#REF!</v>
      </c>
      <c r="G15" s="34"/>
    </row>
    <row r="16" spans="1:10" ht="17" thickBot="1" x14ac:dyDescent="0.25">
      <c r="A16" s="2" t="e">
        <f>'Récapitulatif couts recettes'!#REF!</f>
        <v>#REF!</v>
      </c>
      <c r="B16" s="2" t="e">
        <f>'Récapitulatif couts recettes'!#REF!</f>
        <v>#REF!</v>
      </c>
      <c r="C16" s="2" t="e">
        <f>'Récapitulatif couts recettes'!#REF!</f>
        <v>#REF!</v>
      </c>
      <c r="D16" s="31">
        <v>0.25</v>
      </c>
      <c r="E16" s="32" t="e">
        <f t="shared" si="0"/>
        <v>#REF!</v>
      </c>
      <c r="F16" s="33" t="e">
        <f t="shared" si="1"/>
        <v>#REF!</v>
      </c>
      <c r="G16" s="34"/>
    </row>
    <row r="17" spans="1:7" ht="17" thickBot="1" x14ac:dyDescent="0.25">
      <c r="A17" s="2" t="e">
        <f>'Récapitulatif couts recettes'!#REF!</f>
        <v>#REF!</v>
      </c>
      <c r="B17" s="2" t="e">
        <f>'Récapitulatif couts recettes'!#REF!</f>
        <v>#REF!</v>
      </c>
      <c r="C17" s="2" t="e">
        <f>'Récapitulatif couts recettes'!#REF!</f>
        <v>#REF!</v>
      </c>
      <c r="D17" s="31">
        <v>0.25</v>
      </c>
      <c r="E17" s="32" t="e">
        <f t="shared" si="0"/>
        <v>#REF!</v>
      </c>
      <c r="F17" s="33" t="e">
        <f t="shared" si="1"/>
        <v>#REF!</v>
      </c>
      <c r="G17" s="34"/>
    </row>
    <row r="18" spans="1:7" ht="17" thickBot="1" x14ac:dyDescent="0.25">
      <c r="A18" s="2" t="e">
        <f>'Récapitulatif couts recettes'!#REF!</f>
        <v>#REF!</v>
      </c>
      <c r="B18" s="2" t="e">
        <f>'Récapitulatif couts recettes'!#REF!</f>
        <v>#REF!</v>
      </c>
      <c r="C18" s="2" t="e">
        <f>'Récapitulatif couts recettes'!#REF!</f>
        <v>#REF!</v>
      </c>
      <c r="D18" s="31">
        <v>0.25</v>
      </c>
      <c r="E18" s="32" t="e">
        <f t="shared" si="0"/>
        <v>#REF!</v>
      </c>
      <c r="F18" s="33" t="e">
        <f t="shared" si="1"/>
        <v>#REF!</v>
      </c>
      <c r="G18" s="34"/>
    </row>
    <row r="19" spans="1:7" ht="17" thickBot="1" x14ac:dyDescent="0.25">
      <c r="A19" s="2" t="e">
        <f>'Récapitulatif couts recettes'!#REF!</f>
        <v>#REF!</v>
      </c>
      <c r="B19" s="2" t="e">
        <f>'Récapitulatif couts recettes'!#REF!</f>
        <v>#REF!</v>
      </c>
      <c r="C19" s="2" t="e">
        <f>'Récapitulatif couts recettes'!#REF!</f>
        <v>#REF!</v>
      </c>
      <c r="D19" s="31">
        <v>0.25</v>
      </c>
      <c r="E19" s="32" t="e">
        <f t="shared" si="0"/>
        <v>#REF!</v>
      </c>
      <c r="F19" s="33" t="e">
        <f t="shared" si="1"/>
        <v>#REF!</v>
      </c>
      <c r="G19" s="34"/>
    </row>
    <row r="20" spans="1:7" ht="17" thickBot="1" x14ac:dyDescent="0.25">
      <c r="A20" s="2" t="e">
        <f>'Récapitulatif couts recettes'!#REF!</f>
        <v>#REF!</v>
      </c>
      <c r="B20" s="2" t="e">
        <f>'Récapitulatif couts recettes'!#REF!</f>
        <v>#REF!</v>
      </c>
      <c r="C20" s="2" t="e">
        <f>'Récapitulatif couts recettes'!#REF!</f>
        <v>#REF!</v>
      </c>
      <c r="D20" s="31">
        <v>0.25</v>
      </c>
      <c r="E20" s="32" t="e">
        <f t="shared" si="0"/>
        <v>#REF!</v>
      </c>
      <c r="F20" s="33" t="e">
        <f t="shared" si="1"/>
        <v>#REF!</v>
      </c>
      <c r="G20" s="34"/>
    </row>
    <row r="21" spans="1:7" ht="17" thickBot="1" x14ac:dyDescent="0.25">
      <c r="A21" s="2" t="e">
        <f>'Récapitulatif couts recettes'!#REF!</f>
        <v>#REF!</v>
      </c>
      <c r="B21" s="2" t="e">
        <f>'Récapitulatif couts recettes'!#REF!</f>
        <v>#REF!</v>
      </c>
      <c r="C21" s="2" t="e">
        <f>'Récapitulatif couts recettes'!#REF!</f>
        <v>#REF!</v>
      </c>
      <c r="D21" s="31">
        <v>0.25</v>
      </c>
      <c r="E21" s="32" t="e">
        <f t="shared" si="0"/>
        <v>#REF!</v>
      </c>
      <c r="F21" s="33" t="e">
        <f t="shared" si="1"/>
        <v>#REF!</v>
      </c>
      <c r="G21" s="34"/>
    </row>
    <row r="22" spans="1:7" ht="17" thickBot="1" x14ac:dyDescent="0.25">
      <c r="A22" s="2" t="e">
        <f>'Récapitulatif couts recettes'!#REF!</f>
        <v>#REF!</v>
      </c>
      <c r="B22" s="2" t="e">
        <f>'Récapitulatif couts recettes'!#REF!</f>
        <v>#REF!</v>
      </c>
      <c r="C22" s="2" t="e">
        <f>'Récapitulatif couts recettes'!#REF!</f>
        <v>#REF!</v>
      </c>
      <c r="D22" s="31">
        <v>0.25</v>
      </c>
      <c r="E22" s="32" t="e">
        <f t="shared" si="0"/>
        <v>#REF!</v>
      </c>
      <c r="F22" s="33" t="e">
        <f t="shared" si="1"/>
        <v>#REF!</v>
      </c>
      <c r="G22" s="34"/>
    </row>
    <row r="23" spans="1:7" ht="17" thickBot="1" x14ac:dyDescent="0.25">
      <c r="A23" s="2" t="e">
        <f>'Récapitulatif couts recettes'!#REF!</f>
        <v>#REF!</v>
      </c>
      <c r="B23" s="2" t="e">
        <f>'Récapitulatif couts recettes'!#REF!</f>
        <v>#REF!</v>
      </c>
      <c r="C23" s="2" t="e">
        <f>'Récapitulatif couts recettes'!#REF!</f>
        <v>#REF!</v>
      </c>
      <c r="D23" s="31">
        <v>0.25</v>
      </c>
      <c r="E23" s="32" t="e">
        <f t="shared" si="0"/>
        <v>#REF!</v>
      </c>
      <c r="F23" s="33" t="e">
        <f t="shared" si="1"/>
        <v>#REF!</v>
      </c>
      <c r="G23" s="34"/>
    </row>
    <row r="24" spans="1:7" ht="17" thickBot="1" x14ac:dyDescent="0.25">
      <c r="A24" s="2" t="e">
        <f>'Récapitulatif couts recettes'!#REF!</f>
        <v>#REF!</v>
      </c>
      <c r="B24" s="2" t="e">
        <f>'Récapitulatif couts recettes'!#REF!</f>
        <v>#REF!</v>
      </c>
      <c r="C24" s="2" t="e">
        <f>'Récapitulatif couts recettes'!#REF!</f>
        <v>#REF!</v>
      </c>
      <c r="D24" s="31">
        <v>0.25</v>
      </c>
      <c r="E24" s="32" t="e">
        <f t="shared" si="0"/>
        <v>#REF!</v>
      </c>
      <c r="F24" s="33" t="e">
        <f t="shared" si="1"/>
        <v>#REF!</v>
      </c>
      <c r="G24" s="34"/>
    </row>
    <row r="25" spans="1:7" ht="17" thickBot="1" x14ac:dyDescent="0.25">
      <c r="A25" s="2" t="e">
        <f>'Récapitulatif couts recettes'!#REF!</f>
        <v>#REF!</v>
      </c>
      <c r="B25" s="2" t="e">
        <f>'Récapitulatif couts recettes'!#REF!</f>
        <v>#REF!</v>
      </c>
      <c r="C25" s="2" t="e">
        <f>'Récapitulatif couts recettes'!#REF!</f>
        <v>#REF!</v>
      </c>
      <c r="D25" s="31">
        <v>0.25</v>
      </c>
      <c r="E25" s="32" t="e">
        <f t="shared" si="0"/>
        <v>#REF!</v>
      </c>
      <c r="F25" s="33" t="e">
        <f t="shared" si="1"/>
        <v>#REF!</v>
      </c>
      <c r="G25" s="34"/>
    </row>
    <row r="26" spans="1:7" ht="17" thickBot="1" x14ac:dyDescent="0.25">
      <c r="A26" s="2" t="e">
        <f>'Récapitulatif couts recettes'!#REF!</f>
        <v>#REF!</v>
      </c>
      <c r="B26" s="2" t="e">
        <f>'Récapitulatif couts recettes'!#REF!</f>
        <v>#REF!</v>
      </c>
      <c r="C26" s="2" t="e">
        <f>'Récapitulatif couts recettes'!#REF!</f>
        <v>#REF!</v>
      </c>
      <c r="D26" s="31">
        <v>0.25</v>
      </c>
      <c r="E26" s="32" t="e">
        <f t="shared" si="0"/>
        <v>#REF!</v>
      </c>
      <c r="F26" s="33" t="e">
        <f t="shared" si="1"/>
        <v>#REF!</v>
      </c>
      <c r="G26" s="34"/>
    </row>
    <row r="27" spans="1:7" ht="17" thickBot="1" x14ac:dyDescent="0.25">
      <c r="A27" s="2" t="e">
        <f>'Récapitulatif couts recettes'!#REF!</f>
        <v>#REF!</v>
      </c>
      <c r="B27" s="2" t="e">
        <f>'Récapitulatif couts recettes'!#REF!</f>
        <v>#REF!</v>
      </c>
      <c r="C27" s="2" t="e">
        <f>'Récapitulatif couts recettes'!#REF!</f>
        <v>#REF!</v>
      </c>
      <c r="D27" s="31">
        <v>0.25</v>
      </c>
      <c r="E27" s="32" t="e">
        <f t="shared" si="0"/>
        <v>#REF!</v>
      </c>
      <c r="F27" s="33" t="e">
        <f t="shared" si="1"/>
        <v>#REF!</v>
      </c>
      <c r="G27" s="34"/>
    </row>
    <row r="28" spans="1:7" ht="17" thickBot="1" x14ac:dyDescent="0.25">
      <c r="A28" s="2" t="e">
        <f>'Récapitulatif couts recettes'!#REF!</f>
        <v>#REF!</v>
      </c>
      <c r="B28" s="2" t="e">
        <f>'Récapitulatif couts recettes'!#REF!</f>
        <v>#REF!</v>
      </c>
      <c r="C28" s="2" t="e">
        <f>'Récapitulatif couts recettes'!#REF!</f>
        <v>#REF!</v>
      </c>
      <c r="D28" s="31">
        <v>0.25</v>
      </c>
      <c r="E28" s="32" t="e">
        <f t="shared" si="0"/>
        <v>#REF!</v>
      </c>
      <c r="F28" s="33" t="e">
        <f t="shared" si="1"/>
        <v>#REF!</v>
      </c>
      <c r="G28" s="34"/>
    </row>
    <row r="29" spans="1:7" ht="17" thickBot="1" x14ac:dyDescent="0.25">
      <c r="A29" s="2" t="e">
        <f>'Récapitulatif couts recettes'!#REF!</f>
        <v>#REF!</v>
      </c>
      <c r="B29" s="2" t="e">
        <f>'Récapitulatif couts recettes'!#REF!</f>
        <v>#REF!</v>
      </c>
      <c r="C29" s="2" t="e">
        <f>'Récapitulatif couts recettes'!#REF!</f>
        <v>#REF!</v>
      </c>
      <c r="D29" s="31">
        <v>0.25</v>
      </c>
      <c r="E29" s="32" t="e">
        <f t="shared" si="0"/>
        <v>#REF!</v>
      </c>
      <c r="F29" s="33" t="e">
        <f t="shared" si="1"/>
        <v>#REF!</v>
      </c>
      <c r="G29" s="34"/>
    </row>
    <row r="30" spans="1:7" ht="17" thickBot="1" x14ac:dyDescent="0.25">
      <c r="A30" s="2" t="e">
        <f>'Récapitulatif couts recettes'!#REF!</f>
        <v>#REF!</v>
      </c>
      <c r="B30" s="2" t="e">
        <f>'Récapitulatif couts recettes'!#REF!</f>
        <v>#REF!</v>
      </c>
      <c r="C30" s="2" t="e">
        <f>'Récapitulatif couts recettes'!#REF!</f>
        <v>#REF!</v>
      </c>
      <c r="D30" s="31">
        <v>0.25</v>
      </c>
      <c r="E30" s="32" t="e">
        <f t="shared" si="0"/>
        <v>#REF!</v>
      </c>
      <c r="F30" s="33" t="e">
        <f t="shared" si="1"/>
        <v>#REF!</v>
      </c>
      <c r="G30" s="34"/>
    </row>
    <row r="31" spans="1:7" ht="17" thickBot="1" x14ac:dyDescent="0.25">
      <c r="A31" s="2" t="e">
        <f>'Récapitulatif couts recettes'!#REF!</f>
        <v>#REF!</v>
      </c>
      <c r="B31" s="2" t="e">
        <f>'Récapitulatif couts recettes'!#REF!</f>
        <v>#REF!</v>
      </c>
      <c r="C31" s="2" t="e">
        <f>'Récapitulatif couts recettes'!#REF!</f>
        <v>#REF!</v>
      </c>
      <c r="D31" s="31">
        <v>0.25</v>
      </c>
      <c r="E31" s="32" t="e">
        <f t="shared" si="0"/>
        <v>#REF!</v>
      </c>
      <c r="F31" s="33" t="e">
        <f t="shared" si="1"/>
        <v>#REF!</v>
      </c>
      <c r="G31" s="34"/>
    </row>
    <row r="32" spans="1:7" ht="17" thickBot="1" x14ac:dyDescent="0.25">
      <c r="A32" s="2" t="e">
        <f>'Récapitulatif couts recettes'!#REF!</f>
        <v>#REF!</v>
      </c>
      <c r="B32" s="2" t="e">
        <f>'Récapitulatif couts recettes'!#REF!</f>
        <v>#REF!</v>
      </c>
      <c r="C32" s="2" t="e">
        <f>'Récapitulatif couts recettes'!#REF!</f>
        <v>#REF!</v>
      </c>
      <c r="D32" s="31">
        <v>0.25</v>
      </c>
      <c r="E32" s="32" t="e">
        <f t="shared" si="0"/>
        <v>#REF!</v>
      </c>
      <c r="F32" s="33" t="e">
        <f t="shared" si="1"/>
        <v>#REF!</v>
      </c>
      <c r="G32" s="34"/>
    </row>
    <row r="33" spans="1:7" ht="17" thickBot="1" x14ac:dyDescent="0.25">
      <c r="A33" s="2" t="e">
        <f>'Récapitulatif couts recettes'!#REF!</f>
        <v>#REF!</v>
      </c>
      <c r="B33" s="2" t="e">
        <f>'Récapitulatif couts recettes'!#REF!</f>
        <v>#REF!</v>
      </c>
      <c r="C33" s="2" t="e">
        <f>'Récapitulatif couts recettes'!#REF!</f>
        <v>#REF!</v>
      </c>
      <c r="D33" s="31">
        <v>0.25</v>
      </c>
      <c r="E33" s="32" t="e">
        <f t="shared" si="0"/>
        <v>#REF!</v>
      </c>
      <c r="F33" s="33" t="e">
        <f t="shared" si="1"/>
        <v>#REF!</v>
      </c>
      <c r="G33" s="34"/>
    </row>
    <row r="34" spans="1:7" ht="17" thickBot="1" x14ac:dyDescent="0.25">
      <c r="A34" s="2" t="e">
        <f>'Récapitulatif couts recettes'!#REF!</f>
        <v>#REF!</v>
      </c>
      <c r="B34" s="2" t="e">
        <f>'Récapitulatif couts recettes'!#REF!</f>
        <v>#REF!</v>
      </c>
      <c r="C34" s="2" t="e">
        <f>'Récapitulatif couts recettes'!#REF!</f>
        <v>#REF!</v>
      </c>
      <c r="D34" s="31">
        <v>0.25</v>
      </c>
      <c r="E34" s="32" t="e">
        <f t="shared" si="0"/>
        <v>#REF!</v>
      </c>
      <c r="F34" s="33" t="e">
        <f t="shared" si="1"/>
        <v>#REF!</v>
      </c>
      <c r="G34" s="34"/>
    </row>
    <row r="35" spans="1:7" ht="17" thickBot="1" x14ac:dyDescent="0.25">
      <c r="A35" s="2" t="e">
        <f>'Récapitulatif couts recettes'!#REF!</f>
        <v>#REF!</v>
      </c>
      <c r="B35" s="2" t="e">
        <f>'Récapitulatif couts recettes'!#REF!</f>
        <v>#REF!</v>
      </c>
      <c r="C35" s="2" t="e">
        <f>'Récapitulatif couts recettes'!#REF!</f>
        <v>#REF!</v>
      </c>
      <c r="D35" s="31">
        <v>0.25</v>
      </c>
      <c r="E35" s="32" t="e">
        <f t="shared" si="0"/>
        <v>#REF!</v>
      </c>
      <c r="F35" s="33" t="e">
        <f t="shared" si="1"/>
        <v>#REF!</v>
      </c>
      <c r="G35" s="34"/>
    </row>
    <row r="36" spans="1:7" ht="17" thickBot="1" x14ac:dyDescent="0.25">
      <c r="A36" s="2" t="e">
        <f>'Récapitulatif couts recettes'!#REF!</f>
        <v>#REF!</v>
      </c>
      <c r="B36" s="2" t="e">
        <f>'Récapitulatif couts recettes'!#REF!</f>
        <v>#REF!</v>
      </c>
      <c r="C36" s="2" t="e">
        <f>'Récapitulatif couts recettes'!#REF!</f>
        <v>#REF!</v>
      </c>
      <c r="D36" s="31">
        <v>0.25</v>
      </c>
      <c r="E36" s="32" t="e">
        <f t="shared" si="0"/>
        <v>#REF!</v>
      </c>
      <c r="F36" s="33" t="e">
        <f t="shared" si="1"/>
        <v>#REF!</v>
      </c>
      <c r="G36" s="34"/>
    </row>
    <row r="37" spans="1:7" x14ac:dyDescent="0.2">
      <c r="A37" s="2" t="e">
        <f>'Récapitulatif couts recettes'!#REF!</f>
        <v>#REF!</v>
      </c>
      <c r="B37" s="2" t="e">
        <f>'Récapitulatif couts recettes'!#REF!</f>
        <v>#REF!</v>
      </c>
      <c r="C37" s="2" t="e">
        <f>'Récapitulatif couts recettes'!#REF!</f>
        <v>#REF!</v>
      </c>
      <c r="D37" s="31">
        <v>0.25</v>
      </c>
      <c r="E37" s="32" t="e">
        <f t="shared" si="0"/>
        <v>#REF!</v>
      </c>
      <c r="F37" s="33" t="e">
        <f t="shared" si="1"/>
        <v>#REF!</v>
      </c>
      <c r="G37" s="3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PVR_Raffraichir" altText="Raffraichir">
                <anchor moveWithCells="1" sizeWithCells="1">
                  <from>
                    <xdr:col>7</xdr:col>
                    <xdr:colOff>50800</xdr:colOff>
                    <xdr:row>0</xdr:row>
                    <xdr:rowOff>203200</xdr:rowOff>
                  </from>
                  <to>
                    <xdr:col>7</xdr:col>
                    <xdr:colOff>1574800</xdr:colOff>
                    <xdr:row>0</xdr:row>
                    <xdr:rowOff>584200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14</vt:i4>
      </vt:variant>
      <vt:variant>
        <vt:lpstr>Plages nommées</vt:lpstr>
      </vt:variant>
      <vt:variant>
        <vt:i4>6</vt:i4>
      </vt:variant>
    </vt:vector>
  </HeadingPairs>
  <TitlesOfParts>
    <vt:vector size="20" baseType="lpstr">
      <vt:lpstr>Nomenclature</vt:lpstr>
      <vt:lpstr>Unités</vt:lpstr>
      <vt:lpstr>Fournisseurs</vt:lpstr>
      <vt:lpstr>Produits</vt:lpstr>
      <vt:lpstr>Produits par producteur</vt:lpstr>
      <vt:lpstr>Produits par producteur et R</vt:lpstr>
      <vt:lpstr>Recettes</vt:lpstr>
      <vt:lpstr>Récapitulatif couts recettes</vt:lpstr>
      <vt:lpstr>Prix de ventes recettes</vt:lpstr>
      <vt:lpstr>Menu</vt:lpstr>
      <vt:lpstr>Semainier ventes</vt:lpstr>
      <vt:lpstr>Stocks</vt:lpstr>
      <vt:lpstr>Bilan mensuel creperie</vt:lpstr>
      <vt:lpstr>Prix de ventes recettes (2)</vt:lpstr>
      <vt:lpstr>TAllergenes</vt:lpstr>
      <vt:lpstr>TFournisseurs</vt:lpstr>
      <vt:lpstr>TProduits</vt:lpstr>
      <vt:lpstr>TRecettes</vt:lpstr>
      <vt:lpstr>TTypesRecettes</vt:lpstr>
      <vt:lpstr>TUnités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jean-paul vallée</dc:creator>
  <cp:lastModifiedBy>jean-paul vallée</cp:lastModifiedBy>
  <dcterms:created xsi:type="dcterms:W3CDTF">2023-11-16T13:47:38Z</dcterms:created>
  <dcterms:modified xsi:type="dcterms:W3CDTF">2025-02-17T23:45:11Z</dcterms:modified>
</cp:coreProperties>
</file>